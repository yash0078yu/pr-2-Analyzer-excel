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yash\Downloads\"/>
    </mc:Choice>
  </mc:AlternateContent>
  <xr:revisionPtr revIDLastSave="0" documentId="13_ncr:1_{D39978FC-BFE2-4855-95FD-1A7B76ABCB17}" xr6:coauthVersionLast="47" xr6:coauthVersionMax="47" xr10:uidLastSave="{00000000-0000-0000-0000-000000000000}"/>
  <bookViews>
    <workbookView xWindow="-108" yWindow="-108" windowWidth="23256" windowHeight="12456" tabRatio="867" xr2:uid="{4B7D1346-35FA-475B-8379-C2E41779D305}"/>
  </bookViews>
  <sheets>
    <sheet name="Project Instructions" sheetId="1" r:id="rId1"/>
    <sheet name="Dataset" sheetId="3" r:id="rId2"/>
    <sheet name="Regression" sheetId="4" r:id="rId3"/>
    <sheet name="Descriptive Statistics" sheetId="5" r:id="rId4"/>
    <sheet name="Clustered chart" sheetId="11" r:id="rId5"/>
    <sheet name="Pie chart" sheetId="10" r:id="rId6"/>
    <sheet name=" Bar Chart" sheetId="16" r:id="rId7"/>
    <sheet name="Line chart" sheetId="12" r:id="rId8"/>
    <sheet name="Dashboard" sheetId="17" r:id="rId9"/>
  </sheets>
  <definedNames>
    <definedName name="_xlnm._FilterDatabase" localSheetId="1" hidden="1">Dataset!$A$1:$M$201</definedName>
    <definedName name="Slicer_Months__Order_Date">#N/A</definedName>
    <definedName name="Slicer_Product_Category">#N/A</definedName>
    <definedName name="Slicer_Region">#N/A</definedName>
    <definedName name="Slicer_Years__Order_Date">#N/A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2" i="3" l="1"/>
  <c r="P3" i="3"/>
  <c r="T5" i="3"/>
  <c r="T7" i="3" s="1"/>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 i="3"/>
  <c r="M7" i="3"/>
  <c r="G12" i="10"/>
  <c r="M3" i="3" l="1"/>
  <c r="M4" i="3"/>
  <c r="M5" i="3"/>
  <c r="M6"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 i="3"/>
  <c r="R21" i="3"/>
  <c r="R12" i="3"/>
  <c r="R13" i="3"/>
  <c r="R14" i="3"/>
  <c r="R15" i="3"/>
  <c r="R16" i="3"/>
  <c r="R17" i="3"/>
  <c r="R18" i="3"/>
  <c r="R19" i="3"/>
  <c r="R20" i="3"/>
  <c r="R11" i="3"/>
  <c r="K3" i="3" l="1"/>
  <c r="L3" i="3" s="1"/>
  <c r="K4" i="3"/>
  <c r="L4" i="3" s="1"/>
  <c r="K5" i="3"/>
  <c r="L5" i="3" s="1"/>
  <c r="K6" i="3"/>
  <c r="L6" i="3" s="1"/>
  <c r="K7" i="3"/>
  <c r="L7" i="3" s="1"/>
  <c r="K8" i="3"/>
  <c r="L8" i="3" s="1"/>
  <c r="K9" i="3"/>
  <c r="L9" i="3" s="1"/>
  <c r="K10" i="3"/>
  <c r="L10" i="3" s="1"/>
  <c r="K11" i="3"/>
  <c r="L11" i="3" s="1"/>
  <c r="K12" i="3"/>
  <c r="L12" i="3" s="1"/>
  <c r="K13" i="3"/>
  <c r="L13" i="3" s="1"/>
  <c r="K14" i="3"/>
  <c r="L14" i="3" s="1"/>
  <c r="K15" i="3"/>
  <c r="L15" i="3" s="1"/>
  <c r="K16" i="3"/>
  <c r="L16" i="3" s="1"/>
  <c r="K17" i="3"/>
  <c r="L17" i="3" s="1"/>
  <c r="K18" i="3"/>
  <c r="L18" i="3" s="1"/>
  <c r="K19" i="3"/>
  <c r="L19" i="3" s="1"/>
  <c r="K20" i="3"/>
  <c r="L20" i="3" s="1"/>
  <c r="K21" i="3"/>
  <c r="L21" i="3" s="1"/>
  <c r="K22" i="3"/>
  <c r="L22" i="3" s="1"/>
  <c r="K23" i="3"/>
  <c r="L23" i="3" s="1"/>
  <c r="K24" i="3"/>
  <c r="L24" i="3" s="1"/>
  <c r="K25" i="3"/>
  <c r="L25" i="3" s="1"/>
  <c r="K26" i="3"/>
  <c r="L26" i="3" s="1"/>
  <c r="K27" i="3"/>
  <c r="L27" i="3" s="1"/>
  <c r="K28" i="3"/>
  <c r="L28" i="3" s="1"/>
  <c r="K29" i="3"/>
  <c r="L29" i="3" s="1"/>
  <c r="K30" i="3"/>
  <c r="L30" i="3" s="1"/>
  <c r="K31" i="3"/>
  <c r="L31" i="3" s="1"/>
  <c r="K32" i="3"/>
  <c r="L32" i="3" s="1"/>
  <c r="K33" i="3"/>
  <c r="L33" i="3" s="1"/>
  <c r="K34" i="3"/>
  <c r="L34" i="3" s="1"/>
  <c r="K35" i="3"/>
  <c r="L35" i="3" s="1"/>
  <c r="K36" i="3"/>
  <c r="L36" i="3" s="1"/>
  <c r="K37" i="3"/>
  <c r="L37" i="3" s="1"/>
  <c r="K38" i="3"/>
  <c r="L38" i="3" s="1"/>
  <c r="K39" i="3"/>
  <c r="L39" i="3" s="1"/>
  <c r="K40" i="3"/>
  <c r="L40" i="3" s="1"/>
  <c r="K41" i="3"/>
  <c r="L41" i="3" s="1"/>
  <c r="K42" i="3"/>
  <c r="L42" i="3" s="1"/>
  <c r="K43" i="3"/>
  <c r="L43" i="3" s="1"/>
  <c r="K44" i="3"/>
  <c r="L44" i="3" s="1"/>
  <c r="K45" i="3"/>
  <c r="L45" i="3" s="1"/>
  <c r="K46" i="3"/>
  <c r="L46" i="3" s="1"/>
  <c r="K47" i="3"/>
  <c r="L47" i="3" s="1"/>
  <c r="K48" i="3"/>
  <c r="L48" i="3" s="1"/>
  <c r="K49" i="3"/>
  <c r="L49" i="3" s="1"/>
  <c r="K50" i="3"/>
  <c r="L50" i="3" s="1"/>
  <c r="K51" i="3"/>
  <c r="L51" i="3" s="1"/>
  <c r="K52" i="3"/>
  <c r="L52" i="3" s="1"/>
  <c r="K53" i="3"/>
  <c r="L53" i="3" s="1"/>
  <c r="K54" i="3"/>
  <c r="L54" i="3" s="1"/>
  <c r="K55" i="3"/>
  <c r="L55" i="3" s="1"/>
  <c r="K56" i="3"/>
  <c r="L56" i="3" s="1"/>
  <c r="K57" i="3"/>
  <c r="L57" i="3" s="1"/>
  <c r="K58" i="3"/>
  <c r="L58" i="3" s="1"/>
  <c r="K59" i="3"/>
  <c r="L59" i="3" s="1"/>
  <c r="K60" i="3"/>
  <c r="L60" i="3" s="1"/>
  <c r="K61" i="3"/>
  <c r="L61" i="3" s="1"/>
  <c r="K62" i="3"/>
  <c r="L62" i="3" s="1"/>
  <c r="K63" i="3"/>
  <c r="L63" i="3" s="1"/>
  <c r="K64" i="3"/>
  <c r="L64" i="3" s="1"/>
  <c r="K65" i="3"/>
  <c r="L65" i="3" s="1"/>
  <c r="K66" i="3"/>
  <c r="L66" i="3" s="1"/>
  <c r="K67" i="3"/>
  <c r="L67" i="3" s="1"/>
  <c r="K68" i="3"/>
  <c r="L68" i="3" s="1"/>
  <c r="K69" i="3"/>
  <c r="L69" i="3" s="1"/>
  <c r="K70" i="3"/>
  <c r="L70" i="3" s="1"/>
  <c r="K71" i="3"/>
  <c r="L71" i="3" s="1"/>
  <c r="K72" i="3"/>
  <c r="L72" i="3" s="1"/>
  <c r="K73" i="3"/>
  <c r="L73" i="3" s="1"/>
  <c r="K74" i="3"/>
  <c r="L74" i="3" s="1"/>
  <c r="K75" i="3"/>
  <c r="L75" i="3" s="1"/>
  <c r="K76" i="3"/>
  <c r="L76" i="3" s="1"/>
  <c r="K77" i="3"/>
  <c r="L77" i="3" s="1"/>
  <c r="K78" i="3"/>
  <c r="L78" i="3" s="1"/>
  <c r="K79" i="3"/>
  <c r="L79" i="3" s="1"/>
  <c r="K80" i="3"/>
  <c r="L80" i="3" s="1"/>
  <c r="K81" i="3"/>
  <c r="L81" i="3" s="1"/>
  <c r="K82" i="3"/>
  <c r="L82" i="3" s="1"/>
  <c r="K83" i="3"/>
  <c r="L83" i="3" s="1"/>
  <c r="K84" i="3"/>
  <c r="L84" i="3" s="1"/>
  <c r="K85" i="3"/>
  <c r="L85" i="3" s="1"/>
  <c r="K86" i="3"/>
  <c r="L86" i="3" s="1"/>
  <c r="K87" i="3"/>
  <c r="L87" i="3" s="1"/>
  <c r="K88" i="3"/>
  <c r="L88" i="3" s="1"/>
  <c r="K89" i="3"/>
  <c r="L89" i="3" s="1"/>
  <c r="K90" i="3"/>
  <c r="L90" i="3" s="1"/>
  <c r="K91" i="3"/>
  <c r="L91" i="3" s="1"/>
  <c r="K92" i="3"/>
  <c r="L92" i="3" s="1"/>
  <c r="K93" i="3"/>
  <c r="L93" i="3" s="1"/>
  <c r="K94" i="3"/>
  <c r="L94" i="3" s="1"/>
  <c r="K95" i="3"/>
  <c r="L95" i="3" s="1"/>
  <c r="K96" i="3"/>
  <c r="L96" i="3" s="1"/>
  <c r="K97" i="3"/>
  <c r="L97" i="3" s="1"/>
  <c r="K98" i="3"/>
  <c r="L98" i="3" s="1"/>
  <c r="K99" i="3"/>
  <c r="L99" i="3" s="1"/>
  <c r="K100" i="3"/>
  <c r="L100" i="3" s="1"/>
  <c r="K101" i="3"/>
  <c r="L101" i="3" s="1"/>
  <c r="K102" i="3"/>
  <c r="L102" i="3" s="1"/>
  <c r="K103" i="3"/>
  <c r="L103" i="3" s="1"/>
  <c r="K104" i="3"/>
  <c r="L104" i="3" s="1"/>
  <c r="K105" i="3"/>
  <c r="L105" i="3" s="1"/>
  <c r="K106" i="3"/>
  <c r="L106" i="3" s="1"/>
  <c r="K107" i="3"/>
  <c r="L107" i="3" s="1"/>
  <c r="K108" i="3"/>
  <c r="L108" i="3" s="1"/>
  <c r="K109" i="3"/>
  <c r="L109" i="3" s="1"/>
  <c r="K110" i="3"/>
  <c r="L110" i="3" s="1"/>
  <c r="K111" i="3"/>
  <c r="L111" i="3" s="1"/>
  <c r="K112" i="3"/>
  <c r="L112" i="3" s="1"/>
  <c r="K113" i="3"/>
  <c r="L113" i="3" s="1"/>
  <c r="K114" i="3"/>
  <c r="L114" i="3" s="1"/>
  <c r="K115" i="3"/>
  <c r="L115" i="3" s="1"/>
  <c r="K116" i="3"/>
  <c r="L116" i="3" s="1"/>
  <c r="K117" i="3"/>
  <c r="L117" i="3" s="1"/>
  <c r="K118" i="3"/>
  <c r="L118" i="3" s="1"/>
  <c r="K119" i="3"/>
  <c r="L119" i="3" s="1"/>
  <c r="K120" i="3"/>
  <c r="L120" i="3" s="1"/>
  <c r="K121" i="3"/>
  <c r="L121" i="3" s="1"/>
  <c r="K122" i="3"/>
  <c r="L122" i="3" s="1"/>
  <c r="K123" i="3"/>
  <c r="L123" i="3" s="1"/>
  <c r="K124" i="3"/>
  <c r="L124" i="3" s="1"/>
  <c r="K125" i="3"/>
  <c r="L125" i="3" s="1"/>
  <c r="K126" i="3"/>
  <c r="L126" i="3" s="1"/>
  <c r="K127" i="3"/>
  <c r="L127" i="3" s="1"/>
  <c r="K128" i="3"/>
  <c r="L128" i="3" s="1"/>
  <c r="K129" i="3"/>
  <c r="L129" i="3" s="1"/>
  <c r="K130" i="3"/>
  <c r="L130" i="3" s="1"/>
  <c r="K131" i="3"/>
  <c r="L131" i="3" s="1"/>
  <c r="K132" i="3"/>
  <c r="L132" i="3" s="1"/>
  <c r="K133" i="3"/>
  <c r="L133" i="3" s="1"/>
  <c r="K134" i="3"/>
  <c r="L134" i="3" s="1"/>
  <c r="K135" i="3"/>
  <c r="L135" i="3" s="1"/>
  <c r="K136" i="3"/>
  <c r="L136" i="3" s="1"/>
  <c r="K137" i="3"/>
  <c r="L137" i="3" s="1"/>
  <c r="K138" i="3"/>
  <c r="L138" i="3" s="1"/>
  <c r="K139" i="3"/>
  <c r="L139" i="3" s="1"/>
  <c r="K140" i="3"/>
  <c r="L140" i="3" s="1"/>
  <c r="K141" i="3"/>
  <c r="L141" i="3" s="1"/>
  <c r="K142" i="3"/>
  <c r="L142" i="3" s="1"/>
  <c r="K143" i="3"/>
  <c r="L143" i="3" s="1"/>
  <c r="K144" i="3"/>
  <c r="L144" i="3" s="1"/>
  <c r="K145" i="3"/>
  <c r="L145" i="3" s="1"/>
  <c r="K146" i="3"/>
  <c r="L146" i="3" s="1"/>
  <c r="K147" i="3"/>
  <c r="L147" i="3" s="1"/>
  <c r="K148" i="3"/>
  <c r="L148" i="3" s="1"/>
  <c r="K149" i="3"/>
  <c r="L149" i="3" s="1"/>
  <c r="K150" i="3"/>
  <c r="L150" i="3" s="1"/>
  <c r="K151" i="3"/>
  <c r="L151" i="3" s="1"/>
  <c r="K152" i="3"/>
  <c r="L152" i="3" s="1"/>
  <c r="K153" i="3"/>
  <c r="L153" i="3" s="1"/>
  <c r="K154" i="3"/>
  <c r="L154" i="3" s="1"/>
  <c r="K155" i="3"/>
  <c r="L155" i="3" s="1"/>
  <c r="K156" i="3"/>
  <c r="L156" i="3" s="1"/>
  <c r="K157" i="3"/>
  <c r="L157" i="3" s="1"/>
  <c r="K158" i="3"/>
  <c r="L158" i="3" s="1"/>
  <c r="K159" i="3"/>
  <c r="L159" i="3" s="1"/>
  <c r="K160" i="3"/>
  <c r="L160" i="3" s="1"/>
  <c r="K161" i="3"/>
  <c r="L161" i="3" s="1"/>
  <c r="K162" i="3"/>
  <c r="L162" i="3" s="1"/>
  <c r="K163" i="3"/>
  <c r="L163" i="3" s="1"/>
  <c r="K164" i="3"/>
  <c r="L164" i="3" s="1"/>
  <c r="K165" i="3"/>
  <c r="L165" i="3" s="1"/>
  <c r="K166" i="3"/>
  <c r="L166" i="3" s="1"/>
  <c r="K167" i="3"/>
  <c r="L167" i="3" s="1"/>
  <c r="K168" i="3"/>
  <c r="L168" i="3" s="1"/>
  <c r="K169" i="3"/>
  <c r="L169" i="3" s="1"/>
  <c r="K170" i="3"/>
  <c r="L170" i="3" s="1"/>
  <c r="K171" i="3"/>
  <c r="L171" i="3" s="1"/>
  <c r="K172" i="3"/>
  <c r="L172" i="3" s="1"/>
  <c r="K173" i="3"/>
  <c r="L173" i="3" s="1"/>
  <c r="K174" i="3"/>
  <c r="L174" i="3" s="1"/>
  <c r="K175" i="3"/>
  <c r="L175" i="3" s="1"/>
  <c r="K176" i="3"/>
  <c r="L176" i="3" s="1"/>
  <c r="K177" i="3"/>
  <c r="L177" i="3" s="1"/>
  <c r="K178" i="3"/>
  <c r="L178" i="3" s="1"/>
  <c r="K179" i="3"/>
  <c r="L179" i="3" s="1"/>
  <c r="K180" i="3"/>
  <c r="L180" i="3" s="1"/>
  <c r="K181" i="3"/>
  <c r="L181" i="3" s="1"/>
  <c r="K182" i="3"/>
  <c r="L182" i="3" s="1"/>
  <c r="K183" i="3"/>
  <c r="L183" i="3" s="1"/>
  <c r="K184" i="3"/>
  <c r="L184" i="3" s="1"/>
  <c r="K185" i="3"/>
  <c r="L185" i="3" s="1"/>
  <c r="K186" i="3"/>
  <c r="L186" i="3" s="1"/>
  <c r="K187" i="3"/>
  <c r="L187" i="3" s="1"/>
  <c r="K188" i="3"/>
  <c r="L188" i="3" s="1"/>
  <c r="K189" i="3"/>
  <c r="L189" i="3" s="1"/>
  <c r="K190" i="3"/>
  <c r="L190" i="3" s="1"/>
  <c r="K191" i="3"/>
  <c r="L191" i="3" s="1"/>
  <c r="K192" i="3"/>
  <c r="L192" i="3" s="1"/>
  <c r="K193" i="3"/>
  <c r="L193" i="3" s="1"/>
  <c r="K194" i="3"/>
  <c r="L194" i="3" s="1"/>
  <c r="K195" i="3"/>
  <c r="L195" i="3" s="1"/>
  <c r="K196" i="3"/>
  <c r="L196" i="3" s="1"/>
  <c r="K197" i="3"/>
  <c r="L197" i="3" s="1"/>
  <c r="K198" i="3"/>
  <c r="L198" i="3" s="1"/>
  <c r="K199" i="3"/>
  <c r="L199" i="3" s="1"/>
  <c r="K200" i="3"/>
  <c r="L200" i="3" s="1"/>
  <c r="K201" i="3"/>
  <c r="L201" i="3" s="1"/>
  <c r="K2" i="3"/>
  <c r="L2" i="3" l="1"/>
  <c r="Q26" i="3"/>
  <c r="R26" i="3" s="1"/>
  <c r="Q30" i="3"/>
  <c r="R30" i="3" s="1"/>
  <c r="Q34" i="3"/>
  <c r="R34" i="3" s="1"/>
  <c r="Q31" i="3"/>
  <c r="R31" i="3" s="1"/>
  <c r="Q35" i="3"/>
  <c r="R35" i="3" s="1"/>
  <c r="Q32" i="3"/>
  <c r="R32" i="3" s="1"/>
  <c r="Q29" i="3"/>
  <c r="R29" i="3" s="1"/>
  <c r="Q33" i="3"/>
  <c r="R33" i="3" s="1"/>
  <c r="Q27" i="3"/>
  <c r="R27" i="3" s="1"/>
  <c r="Q28" i="3"/>
  <c r="R28" i="3" s="1"/>
</calcChain>
</file>

<file path=xl/sharedStrings.xml><?xml version="1.0" encoding="utf-8"?>
<sst xmlns="http://schemas.openxmlformats.org/spreadsheetml/2006/main" count="964" uniqueCount="155">
  <si>
    <t>PR. 2 Analyzer</t>
  </si>
  <si>
    <r>
      <rPr>
        <b/>
        <sz val="11"/>
        <color theme="1"/>
        <rFont val="Calibri"/>
        <family val="2"/>
      </rPr>
      <t xml:space="preserve">Topics:
</t>
    </r>
    <r>
      <rPr>
        <sz val="11"/>
        <color theme="1"/>
        <rFont val="Calibri"/>
        <family val="2"/>
      </rPr>
      <t xml:space="preserve">- Conditional Formatting
 - WHAT IF Analysis
 - Linear Regression (Using Data Analysis Toolpak)
 - Data Analysis Feature (Descriptive Stats, Regression, Histogram)
 - Data Storytelling
 - Add Symbols or Arrows in Custom Formatting
 - Create Timestamp
 - Find High-Value Customers using Groupby(), index(), and match() combination
 - Advanced Descriptive Analytics
 - Pivot Table with Dashboard
 - Creating bar charts
 - Creating line charts
 - Creating pie charts
</t>
    </r>
    <r>
      <rPr>
        <b/>
        <sz val="11"/>
        <color rgb="FF38761D"/>
        <rFont val="Calibri"/>
        <family val="2"/>
      </rPr>
      <t>Main Tasks:</t>
    </r>
    <r>
      <rPr>
        <sz val="11"/>
        <color rgb="FF38761D"/>
        <rFont val="Calibri"/>
        <family val="2"/>
      </rPr>
      <t xml:space="preserve">
1. Apply conditional formatting to highlight top 10 customers based on total purchase.
2. Perform WHAT IF Analysis to see impact of changing discount on total profit.
3. Use Data Analysis Toolpak to run Linear Regression (Profit vs Sales).
4. Use 'Descriptive Statistics' from Analysis Toolpak on the dataset.
5. Add up/down arrows on monthly sales growth.
6. Create a timestamp column using NOW().
7. Identify high-value customers using index(), match(), and filters.
8. Create Pivot Table to analyze total sales by region and product.
9. Create bar, line, and pie charts to visualize KPIs.
10. Summarize insights using a dashboard.</t>
    </r>
    <r>
      <rPr>
        <sz val="11"/>
        <color theme="1"/>
        <rFont val="Calibri"/>
        <family val="2"/>
      </rPr>
      <t xml:space="preserve">
</t>
    </r>
    <r>
      <rPr>
        <b/>
        <sz val="11"/>
        <color theme="1"/>
        <rFont val="Calibri"/>
        <family val="2"/>
      </rPr>
      <t xml:space="preserve">Deliverable:
</t>
    </r>
    <r>
      <rPr>
        <sz val="11"/>
        <color theme="1"/>
        <rFont val="Calibri"/>
        <family val="2"/>
      </rPr>
      <t>Complete the given worksheet by applying the required formulas in respective sheets.</t>
    </r>
  </si>
  <si>
    <t>Clothing</t>
  </si>
  <si>
    <t>South</t>
  </si>
  <si>
    <t>David Thomas</t>
  </si>
  <si>
    <t>CUST016</t>
  </si>
  <si>
    <t>Books</t>
  </si>
  <si>
    <t>East</t>
  </si>
  <si>
    <t>CUST010</t>
  </si>
  <si>
    <t>Office Supplies</t>
  </si>
  <si>
    <t>West</t>
  </si>
  <si>
    <t>Sarah Anderson</t>
  </si>
  <si>
    <t>CUST015</t>
  </si>
  <si>
    <t>Robert Anderson</t>
  </si>
  <si>
    <t>CUST028</t>
  </si>
  <si>
    <t>Central</t>
  </si>
  <si>
    <t>CUST024</t>
  </si>
  <si>
    <t>CUST014</t>
  </si>
  <si>
    <t>Furniture</t>
  </si>
  <si>
    <t>Emma Wilson</t>
  </si>
  <si>
    <t>CUST008</t>
  </si>
  <si>
    <t>David Anderson</t>
  </si>
  <si>
    <t>CUST018</t>
  </si>
  <si>
    <t>North</t>
  </si>
  <si>
    <t>Linda Taylor</t>
  </si>
  <si>
    <t>CUST030</t>
  </si>
  <si>
    <t>James Davis</t>
  </si>
  <si>
    <t>CUST007</t>
  </si>
  <si>
    <t>Michael Anderson</t>
  </si>
  <si>
    <t>CUST009</t>
  </si>
  <si>
    <t>Electronics</t>
  </si>
  <si>
    <t>CUST029</t>
  </si>
  <si>
    <t>Mary Wilson</t>
  </si>
  <si>
    <t>CUST023</t>
  </si>
  <si>
    <t>David Brown</t>
  </si>
  <si>
    <t>CUST021</t>
  </si>
  <si>
    <t>Emma Davis</t>
  </si>
  <si>
    <t>CUST003</t>
  </si>
  <si>
    <t>Sarah Davis</t>
  </si>
  <si>
    <t>Linda Wilson</t>
  </si>
  <si>
    <t>CUST004</t>
  </si>
  <si>
    <t>Mary Davis</t>
  </si>
  <si>
    <t>CUST017</t>
  </si>
  <si>
    <t>CUST013</t>
  </si>
  <si>
    <t>Mary Jackson</t>
  </si>
  <si>
    <t>CUST002</t>
  </si>
  <si>
    <t>CUST026</t>
  </si>
  <si>
    <t>Lisa Thomas</t>
  </si>
  <si>
    <t>CUST012</t>
  </si>
  <si>
    <t>James Wilson</t>
  </si>
  <si>
    <t>Lisa Davis</t>
  </si>
  <si>
    <t>James Taylor</t>
  </si>
  <si>
    <t>CUST011</t>
  </si>
  <si>
    <t>Linda Moore</t>
  </si>
  <si>
    <t>CUST022</t>
  </si>
  <si>
    <t>CUST001</t>
  </si>
  <si>
    <t>Emma Taylor</t>
  </si>
  <si>
    <t>CUST027</t>
  </si>
  <si>
    <t>Linda Brown</t>
  </si>
  <si>
    <t>CUST019</t>
  </si>
  <si>
    <t>CUST025</t>
  </si>
  <si>
    <t>CUST006</t>
  </si>
  <si>
    <t>Linda Jackson</t>
  </si>
  <si>
    <t>David Davis</t>
  </si>
  <si>
    <t>CUST020</t>
  </si>
  <si>
    <t>CUST005</t>
  </si>
  <si>
    <t>John Brown</t>
  </si>
  <si>
    <t>Linda Davis</t>
  </si>
  <si>
    <t>David Smith</t>
  </si>
  <si>
    <t>Profit</t>
  </si>
  <si>
    <t>Order_Date</t>
  </si>
  <si>
    <t>Discount</t>
  </si>
  <si>
    <t>Quantity</t>
  </si>
  <si>
    <t>Sales</t>
  </si>
  <si>
    <t>Product_Category</t>
  </si>
  <si>
    <t>Region</t>
  </si>
  <si>
    <t>Customer_Name</t>
  </si>
  <si>
    <t>Customer_ID</t>
  </si>
  <si>
    <t>Total  Purchase</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</si>
  <si>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</si>
  <si>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</si>
  <si>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</si>
  <si>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</si>
  <si>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</si>
  <si>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</si>
  <si>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</si>
  <si>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</si>
  <si>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</si>
  <si>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</si>
  <si>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</si>
  <si>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</si>
  <si>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</si>
  <si>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</si>
  <si>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</si>
  <si>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</si>
  <si>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</si>
  <si>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</si>
  <si>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</si>
  <si>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</si>
  <si>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</si>
  <si>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</si>
  <si>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</si>
  <si>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</si>
  <si>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Mean</t>
  </si>
  <si>
    <t>Median</t>
  </si>
  <si>
    <t>Mode</t>
  </si>
  <si>
    <t>Standard Deviation</t>
  </si>
  <si>
    <t>Sample Variance</t>
  </si>
  <si>
    <t>Kurtosis</t>
  </si>
  <si>
    <t>Skewness</t>
  </si>
  <si>
    <t>Range</t>
  </si>
  <si>
    <t>Minimum</t>
  </si>
  <si>
    <t>Maximum</t>
  </si>
  <si>
    <t>Sum</t>
  </si>
  <si>
    <t>Count</t>
  </si>
  <si>
    <t>Total Purchase</t>
  </si>
  <si>
    <t>Row Labels</t>
  </si>
  <si>
    <t>Grand Total</t>
  </si>
  <si>
    <t>2025</t>
  </si>
  <si>
    <t>Jan</t>
  </si>
  <si>
    <t>Feb</t>
  </si>
  <si>
    <t>Mar</t>
  </si>
  <si>
    <t>Apr</t>
  </si>
  <si>
    <t>May</t>
  </si>
  <si>
    <t>Jun</t>
  </si>
  <si>
    <t>Jul</t>
  </si>
  <si>
    <t>Aug</t>
  </si>
  <si>
    <t>Sep</t>
  </si>
  <si>
    <t>Oct</t>
  </si>
  <si>
    <t>Nov</t>
  </si>
  <si>
    <t>Dec</t>
  </si>
  <si>
    <t>Sum of Sales</t>
  </si>
  <si>
    <t>-</t>
  </si>
  <si>
    <t>Conditional fornatting</t>
  </si>
  <si>
    <t>Month</t>
  </si>
  <si>
    <t>Total_sales</t>
  </si>
  <si>
    <t>Sales_Growth</t>
  </si>
  <si>
    <t>Timestamp</t>
  </si>
  <si>
    <t>7. Identify high-value customers using index(), match(), and filters.</t>
  </si>
  <si>
    <t>No.</t>
  </si>
  <si>
    <t>Largest_Purchase</t>
  </si>
  <si>
    <t>Column Labels</t>
  </si>
  <si>
    <t>Sum of Total  Purchase</t>
  </si>
  <si>
    <t>2024</t>
  </si>
  <si>
    <t>Sum of Profit</t>
  </si>
  <si>
    <t>Total Cost</t>
  </si>
  <si>
    <t>Cost</t>
  </si>
  <si>
    <t>Average Discount</t>
  </si>
  <si>
    <t>Actual Sales Price</t>
  </si>
  <si>
    <t>2. Perform WHAT IF Analysis to see impact of changing discount on total profit</t>
  </si>
  <si>
    <t>Goal seek</t>
  </si>
  <si>
    <t>3. Use Data Analysis Toolpak to run Linear Regression (Profit vs Sales).</t>
  </si>
  <si>
    <t>4. Use 'Descriptive Statistics' from Analysis Toolpak on the dataset.</t>
  </si>
  <si>
    <t>5. Add up/down arrows on monthly sales growth.</t>
  </si>
  <si>
    <r>
      <t>Books</t>
    </r>
    <r>
      <rPr>
        <sz val="11"/>
        <color theme="1"/>
        <rFont val="Calibri"/>
        <family val="2"/>
        <scheme val="minor"/>
      </rPr>
      <t xml:space="preserve"> leads the pack at </t>
    </r>
    <r>
      <rPr>
        <b/>
        <sz val="11"/>
        <color theme="1"/>
        <rFont val="Calibri"/>
        <family val="2"/>
        <scheme val="minor"/>
      </rPr>
      <t>$47,002.46</t>
    </r>
    <r>
      <rPr>
        <sz val="11"/>
        <color theme="1"/>
        <rFont val="Calibri"/>
        <family val="2"/>
        <scheme val="minor"/>
      </rPr>
      <t xml:space="preserve">, while </t>
    </r>
    <r>
      <rPr>
        <b/>
        <sz val="11"/>
        <color theme="1"/>
        <rFont val="Calibri"/>
        <family val="2"/>
        <scheme val="minor"/>
      </rPr>
      <t>Office Supplies</t>
    </r>
    <r>
      <rPr>
        <sz val="11"/>
        <color theme="1"/>
        <rFont val="Calibri"/>
        <family val="2"/>
        <scheme val="minor"/>
      </rPr>
      <t xml:space="preserve"> trails as the lowest-selling category in a total revenue pool of </t>
    </r>
    <r>
      <rPr>
        <b/>
        <sz val="11"/>
        <color theme="1"/>
        <rFont val="Calibri"/>
        <family val="2"/>
        <scheme val="minor"/>
      </rPr>
      <t>$195,217.76</t>
    </r>
    <r>
      <rPr>
        <sz val="11"/>
        <color theme="1"/>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</si>
</sst>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numFmt numFmtId="165" formatCode="_ [$₹-4009]\ * #,##0_ ;_ [$₹-4009]\ * \-#,##0_ ;_ [$₹-4009]\ * &quot;-&quot;??_ ;_ @_ "/>
  </numFmts>
  <fonts count="14" x14ac:knownFonts="1">
    <font>
      <sz val="11"/>
      <color theme="1"/>
      <name val="Calibri"/>
      <family val="2"/>
      <scheme val="minor"/>
    </font>
    <font>
      <sz val="11"/>
      <color theme="1"/>
      <name val="Calibri"/>
      <family val="2"/>
      <scheme val="minor"/>
    </font>
    <font>
      <b/>
      <sz val="11"/>
      <color theme="1"/>
      <name val="Calibri"/>
      <family val="2"/>
      <scheme val="minor"/>
    </font>
    <font>
      <b/>
      <sz val="11"/>
      <color theme="1"/>
      <name val="Calibri"/>
      <family val="2"/>
    </font>
    <font>
      <sz val="11"/>
      <color theme="1"/>
      <name val="Calibri"/>
      <family val="2"/>
    </font>
    <font>
      <b/>
      <sz val="11"/>
      <color rgb="FF38761D"/>
      <name val="Calibri"/>
      <family val="2"/>
    </font>
    <font>
      <sz val="11"/>
      <color rgb="FF38761D"/>
      <name val="Calibri"/>
      <family val="2"/>
    </font>
    <font>
      <b/>
      <sz val="12"/>
      <color theme="1"/>
      <name val="Bahnschrift"/>
      <family val="2"/>
    </font>
    <font>
      <sz val="12"/>
      <color theme="1"/>
      <name val="Bahnschrift"/>
      <family val="2"/>
    </font>
    <font>
      <i/>
      <sz val="12"/>
      <color theme="1"/>
      <name val="Bahnschrift"/>
      <family val="2"/>
    </font>
    <font>
      <b/>
      <sz val="12"/>
      <color theme="1" tint="4.9989318521683403E-2"/>
      <name val="Bahnschrift"/>
      <family val="2"/>
    </font>
    <font>
      <b/>
      <sz val="12"/>
      <color theme="1"/>
      <name val="Arial"/>
      <family val="2"/>
    </font>
    <font>
      <sz val="12"/>
      <color theme="1"/>
      <name val="Arial"/>
      <family val="2"/>
    </font>
    <font>
      <i/>
      <sz val="12"/>
      <color theme="1"/>
      <name val="Arial"/>
      <family val="2"/>
    </font>
  </fonts>
  <fills count="8">
    <fill>
      <patternFill patternType="none"/>
    </fill>
    <fill>
      <patternFill patternType="gray125"/>
    </fill>
    <fill>
      <patternFill patternType="solid">
        <fgColor rgb="FFFFF2CC"/>
        <bgColor rgb="FFFFF2CC"/>
      </patternFill>
    </fill>
    <fill>
      <patternFill patternType="solid">
        <fgColor theme="6" tint="0.59999389629810485"/>
        <bgColor indexed="64"/>
      </patternFill>
    </fill>
    <fill>
      <patternFill patternType="solid">
        <fgColor theme="2"/>
        <bgColor indexed="64"/>
      </patternFill>
    </fill>
    <fill>
      <patternFill patternType="solid">
        <fgColor theme="6" tint="0.79998168889431442"/>
        <bgColor indexed="64"/>
      </patternFill>
    </fill>
    <fill>
      <patternFill patternType="solid">
        <fgColor rgb="FFFFFF00"/>
        <bgColor indexed="64"/>
      </patternFill>
    </fill>
    <fill>
      <patternFill patternType="solid">
        <fgColor theme="2" tint="-0.34998626667073579"/>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right/>
      <top/>
      <bottom style="medium">
        <color indexed="64"/>
      </bottom>
      <diagonal/>
    </border>
    <border>
      <left/>
      <right/>
      <top style="thin">
        <color indexed="64"/>
      </top>
      <bottom style="thin">
        <color indexed="64"/>
      </bottom>
      <diagonal/>
    </border>
    <border>
      <left/>
      <right/>
      <top style="medium">
        <color indexed="64"/>
      </top>
      <bottom style="thin">
        <color indexed="64"/>
      </bottom>
      <diagonal/>
    </border>
    <border>
      <left/>
      <right/>
      <top/>
      <bottom style="thin">
        <color theme="4" tint="0.3999755851924192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s>
  <cellStyleXfs count="3">
    <xf numFmtId="0" fontId="0" fillId="0" borderId="0"/>
    <xf numFmtId="9" fontId="1" fillId="0" borderId="0" applyFont="0" applyFill="0" applyBorder="0" applyAlignment="0" applyProtection="0"/>
    <xf numFmtId="0" fontId="1" fillId="0" borderId="0"/>
  </cellStyleXfs>
  <cellXfs count="54">
    <xf numFmtId="0" fontId="0" fillId="0" borderId="0" xfId="0"/>
    <xf numFmtId="0" fontId="3" fillId="2" borderId="1" xfId="0" applyFont="1" applyFill="1" applyBorder="1" applyAlignment="1">
      <alignment horizontal="center"/>
    </xf>
    <xf numFmtId="0" fontId="4" fillId="0" borderId="0" xfId="0" applyFont="1"/>
    <xf numFmtId="0" fontId="4" fillId="0" borderId="1" xfId="0" applyFont="1" applyBorder="1" applyAlignment="1">
      <alignment wrapText="1"/>
    </xf>
    <xf numFmtId="0" fontId="1" fillId="0" borderId="0" xfId="0" applyFont="1"/>
    <xf numFmtId="164" fontId="1" fillId="0" borderId="0" xfId="0" applyNumberFormat="1" applyFont="1"/>
    <xf numFmtId="0" fontId="2" fillId="0" borderId="0" xfId="0" applyFont="1"/>
    <xf numFmtId="9" fontId="2" fillId="0" borderId="0" xfId="1" applyFont="1"/>
    <xf numFmtId="9" fontId="1" fillId="0" borderId="0" xfId="1" applyFont="1"/>
    <xf numFmtId="9" fontId="0" fillId="0" borderId="0" xfId="1" applyFont="1"/>
    <xf numFmtId="2" fontId="0" fillId="0" borderId="0" xfId="0" applyNumberFormat="1"/>
    <xf numFmtId="9"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2" fillId="0" borderId="0" xfId="0" applyFont="1" applyAlignment="1">
      <alignment horizontal="center"/>
    </xf>
    <xf numFmtId="22" fontId="0" fillId="0" borderId="0" xfId="0" applyNumberFormat="1"/>
    <xf numFmtId="165" fontId="0" fillId="0" borderId="0" xfId="0" applyNumberFormat="1"/>
    <xf numFmtId="0" fontId="2" fillId="4" borderId="0" xfId="0" applyFont="1" applyFill="1" applyAlignment="1">
      <alignment horizontal="center"/>
    </xf>
    <xf numFmtId="0" fontId="0" fillId="0" borderId="0" xfId="0" applyAlignment="1">
      <alignment horizontal="center"/>
    </xf>
    <xf numFmtId="0" fontId="2" fillId="0" borderId="0" xfId="0" applyFont="1" applyAlignment="1">
      <alignment horizontal="center"/>
    </xf>
    <xf numFmtId="0" fontId="0" fillId="0" borderId="0" xfId="0" applyNumberFormat="1"/>
    <xf numFmtId="0" fontId="7" fillId="0" borderId="0" xfId="0" applyFont="1"/>
    <xf numFmtId="0" fontId="8" fillId="0" borderId="0" xfId="0" applyFont="1"/>
    <xf numFmtId="0" fontId="9" fillId="6" borderId="4" xfId="0" applyFont="1" applyFill="1" applyBorder="1" applyAlignment="1">
      <alignment horizontal="centerContinuous"/>
    </xf>
    <xf numFmtId="0" fontId="8" fillId="5" borderId="0" xfId="0" applyFont="1" applyFill="1"/>
    <xf numFmtId="0" fontId="8" fillId="5" borderId="2" xfId="0" applyFont="1" applyFill="1" applyBorder="1"/>
    <xf numFmtId="0" fontId="8" fillId="0" borderId="2" xfId="0" applyFont="1" applyBorder="1"/>
    <xf numFmtId="0" fontId="9" fillId="6" borderId="4" xfId="0" applyFont="1" applyFill="1" applyBorder="1" applyAlignment="1">
      <alignment horizontal="center"/>
    </xf>
    <xf numFmtId="0" fontId="10" fillId="6" borderId="0" xfId="2" applyFont="1" applyFill="1" applyAlignment="1">
      <alignment horizontal="center" vertical="center"/>
    </xf>
    <xf numFmtId="0" fontId="8" fillId="4" borderId="8" xfId="2" applyFont="1" applyFill="1" applyBorder="1" applyAlignment="1">
      <alignment horizontal="right" vertical="center"/>
    </xf>
    <xf numFmtId="0" fontId="7" fillId="4" borderId="0" xfId="2" applyFont="1" applyFill="1" applyAlignment="1">
      <alignment horizontal="center" vertical="center"/>
    </xf>
    <xf numFmtId="9" fontId="7" fillId="4" borderId="0" xfId="1" applyFont="1" applyFill="1" applyAlignment="1">
      <alignment horizontal="center" vertical="center"/>
    </xf>
    <xf numFmtId="9" fontId="8" fillId="0" borderId="0" xfId="0" applyNumberFormat="1" applyFont="1"/>
    <xf numFmtId="2" fontId="8" fillId="0" borderId="0" xfId="0" applyNumberFormat="1" applyFont="1"/>
    <xf numFmtId="0" fontId="7" fillId="6" borderId="6" xfId="2" applyFont="1" applyFill="1" applyBorder="1" applyAlignment="1">
      <alignment horizontal="center" vertical="center"/>
    </xf>
    <xf numFmtId="0" fontId="8" fillId="6" borderId="3" xfId="2" applyFont="1" applyFill="1" applyBorder="1" applyAlignment="1">
      <alignment horizontal="center" vertical="center"/>
    </xf>
    <xf numFmtId="0" fontId="8" fillId="6" borderId="7" xfId="2" applyFont="1" applyFill="1" applyBorder="1" applyAlignment="1">
      <alignment horizontal="center" vertical="center"/>
    </xf>
    <xf numFmtId="0" fontId="7" fillId="6" borderId="0" xfId="2" applyFont="1" applyFill="1" applyAlignment="1">
      <alignment horizontal="center" vertical="center"/>
    </xf>
    <xf numFmtId="0" fontId="7" fillId="0" borderId="5" xfId="0" applyFont="1" applyBorder="1" applyAlignment="1">
      <alignment horizontal="center"/>
    </xf>
    <xf numFmtId="0" fontId="7" fillId="0" borderId="5" xfId="0" applyFont="1" applyBorder="1"/>
    <xf numFmtId="0" fontId="7" fillId="3" borderId="0" xfId="0" applyFont="1" applyFill="1" applyAlignment="1">
      <alignment horizontal="center"/>
    </xf>
    <xf numFmtId="0" fontId="7" fillId="3" borderId="0" xfId="0" applyFont="1" applyFill="1"/>
    <xf numFmtId="0" fontId="7" fillId="4" borderId="0" xfId="0" applyFont="1" applyFill="1"/>
    <xf numFmtId="2" fontId="7" fillId="3" borderId="0" xfId="0" applyNumberFormat="1" applyFont="1" applyFill="1"/>
    <xf numFmtId="0" fontId="11" fillId="0" borderId="0" xfId="0" applyFont="1"/>
    <xf numFmtId="0" fontId="12" fillId="0" borderId="0" xfId="0" applyFont="1"/>
    <xf numFmtId="0" fontId="13" fillId="6" borderId="4" xfId="0" applyFont="1" applyFill="1" applyBorder="1" applyAlignment="1">
      <alignment horizontal="centerContinuous"/>
    </xf>
    <xf numFmtId="0" fontId="12" fillId="0" borderId="2" xfId="0" applyFont="1" applyBorder="1"/>
    <xf numFmtId="0" fontId="0" fillId="6" borderId="0" xfId="0" applyFill="1"/>
    <xf numFmtId="0" fontId="0" fillId="6" borderId="0" xfId="0" applyFill="1" applyAlignment="1">
      <alignment horizontal="left"/>
    </xf>
    <xf numFmtId="0" fontId="0" fillId="6" borderId="0" xfId="0" applyNumberFormat="1" applyFill="1"/>
    <xf numFmtId="2" fontId="0" fillId="6" borderId="0" xfId="0" applyNumberFormat="1" applyFill="1"/>
    <xf numFmtId="0" fontId="0" fillId="7" borderId="0" xfId="0" applyFill="1"/>
  </cellXfs>
  <cellStyles count="3">
    <cellStyle name="Normal" xfId="0" builtinId="0"/>
    <cellStyle name="Normal 2" xfId="2" xr:uid="{9EE87793-FFD3-4D1F-94CD-BAFAD345D728}"/>
    <cellStyle name="Percent" xfId="1" builtinId="5"/>
  </cellStyles>
  <dxfs count="70">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trike val="0"/>
        <outline val="0"/>
        <shadow val="0"/>
        <u val="none"/>
        <vertAlign val="baseline"/>
        <sz val="12"/>
        <name val="Bahnschrift"/>
        <family val="2"/>
        <scheme val="none"/>
      </font>
      <fill>
        <patternFill patternType="solid">
          <fgColor indexed="64"/>
          <bgColor theme="2"/>
        </patternFill>
      </fill>
    </dxf>
    <dxf>
      <font>
        <b/>
        <i val="0"/>
        <strike val="0"/>
        <condense val="0"/>
        <extend val="0"/>
        <outline val="0"/>
        <shadow val="0"/>
        <u val="none"/>
        <vertAlign val="baseline"/>
        <sz val="12"/>
        <color theme="1" tint="4.9989318521683403E-2"/>
        <name val="Bahnschrift"/>
        <family val="2"/>
        <scheme val="none"/>
      </font>
      <fill>
        <patternFill patternType="solid">
          <fgColor indexed="64"/>
          <bgColor rgb="FFFFFF00"/>
        </patternFill>
      </fill>
      <alignment horizontal="center" vertical="center" textRotation="0" wrapText="0" indent="0" justifyLastLine="0" shrinkToFit="0" readingOrder="0"/>
    </dxf>
    <dxf>
      <font>
        <b/>
        <strike val="0"/>
        <outline val="0"/>
        <shadow val="0"/>
        <u val="none"/>
        <vertAlign val="baseline"/>
        <sz val="12"/>
        <name val="Bahnschrift"/>
        <family val="2"/>
        <scheme val="none"/>
      </font>
      <fill>
        <patternFill patternType="solid">
          <fgColor indexed="64"/>
          <bgColor theme="2"/>
        </patternFill>
      </fill>
      <alignment horizontal="center" vertical="center" textRotation="0" wrapText="0" indent="0" justifyLastLine="0" shrinkToFit="0" readingOrder="0"/>
    </dxf>
    <dxf>
      <font>
        <b/>
        <i val="0"/>
        <strike val="0"/>
        <condense val="0"/>
        <extend val="0"/>
        <outline val="0"/>
        <shadow val="0"/>
        <u val="none"/>
        <vertAlign val="baseline"/>
        <sz val="12"/>
        <color theme="1"/>
        <name val="Bahnschrift"/>
        <family val="2"/>
        <scheme val="none"/>
      </font>
      <fill>
        <patternFill patternType="solid">
          <fgColor indexed="64"/>
          <bgColor theme="2"/>
        </patternFill>
      </fill>
      <alignment horizontal="center" vertical="center" textRotation="0" wrapText="0" indent="0" justifyLastLine="0" shrinkToFit="0" readingOrder="0"/>
    </dxf>
    <dxf>
      <font>
        <b/>
        <strike val="0"/>
        <outline val="0"/>
        <shadow val="0"/>
        <u val="none"/>
        <vertAlign val="baseline"/>
        <sz val="12"/>
        <name val="Bahnschrift"/>
        <family val="2"/>
        <scheme val="none"/>
      </font>
    </dxf>
    <dxf>
      <font>
        <b/>
        <strike val="0"/>
        <outline val="0"/>
        <shadow val="0"/>
        <u val="none"/>
        <vertAlign val="baseline"/>
        <sz val="12"/>
        <name val="Bahnschrift"/>
        <family val="2"/>
        <scheme val="none"/>
      </font>
      <fill>
        <patternFill patternType="solid">
          <fgColor indexed="64"/>
          <bgColor rgb="FFFFFF00"/>
        </patternFill>
      </fill>
    </dxf>
    <dxf>
      <font>
        <b/>
        <strike val="0"/>
        <outline val="0"/>
        <shadow val="0"/>
        <u val="none"/>
        <vertAlign val="baseline"/>
        <sz val="12"/>
        <name val="Bahnschrift"/>
        <family val="2"/>
        <scheme val="none"/>
      </font>
      <fill>
        <patternFill patternType="solid">
          <fgColor indexed="64"/>
          <bgColor theme="6" tint="0.59999389629810485"/>
        </patternFill>
      </fill>
    </dxf>
    <dxf>
      <font>
        <b/>
        <strike val="0"/>
        <outline val="0"/>
        <shadow val="0"/>
        <u val="none"/>
        <vertAlign val="baseline"/>
        <sz val="12"/>
        <name val="Bahnschrift"/>
        <family val="2"/>
        <scheme val="none"/>
      </font>
      <numFmt numFmtId="2" formatCode="0.00"/>
      <fill>
        <patternFill patternType="solid">
          <fgColor indexed="64"/>
          <bgColor theme="6" tint="0.59999389629810485"/>
        </patternFill>
      </fill>
    </dxf>
    <dxf>
      <font>
        <b/>
        <strike val="0"/>
        <outline val="0"/>
        <shadow val="0"/>
        <u val="none"/>
        <vertAlign val="baseline"/>
        <sz val="12"/>
        <name val="Bahnschrift"/>
        <family val="2"/>
        <scheme val="none"/>
      </font>
      <fill>
        <patternFill patternType="solid">
          <fgColor indexed="64"/>
          <bgColor theme="2"/>
        </patternFill>
      </fill>
    </dxf>
    <dxf>
      <font>
        <strike val="0"/>
        <outline val="0"/>
        <shadow val="0"/>
        <u val="none"/>
        <vertAlign val="baseline"/>
        <sz val="12"/>
        <name val="Bahnschrift"/>
        <family val="2"/>
        <scheme val="none"/>
      </font>
    </dxf>
    <dxf>
      <font>
        <strike val="0"/>
        <outline val="0"/>
        <shadow val="0"/>
        <u val="none"/>
        <vertAlign val="baseline"/>
        <sz val="12"/>
        <name val="Bahnschrift"/>
        <family val="2"/>
        <scheme val="none"/>
      </font>
    </dxf>
    <dxf>
      <font>
        <b/>
        <i val="0"/>
        <strike val="0"/>
        <condense val="0"/>
        <extend val="0"/>
        <outline val="0"/>
        <shadow val="0"/>
        <u val="none"/>
        <vertAlign val="baseline"/>
        <sz val="12"/>
        <color theme="1"/>
        <name val="Bahnschrift"/>
        <family val="2"/>
        <scheme val="none"/>
      </font>
      <fill>
        <patternFill patternType="solid">
          <fgColor indexed="64"/>
          <bgColor theme="6" tint="0.59999389629810485"/>
        </patternFill>
      </fill>
    </dxf>
    <dxf>
      <font>
        <b/>
        <i val="0"/>
        <strike val="0"/>
        <condense val="0"/>
        <extend val="0"/>
        <outline val="0"/>
        <shadow val="0"/>
        <u val="none"/>
        <vertAlign val="baseline"/>
        <sz val="12"/>
        <color theme="1"/>
        <name val="Bahnschrift"/>
        <family val="2"/>
        <scheme val="none"/>
      </font>
      <numFmt numFmtId="0" formatCode="General"/>
      <border diagonalUp="0" diagonalDown="0" outline="0">
        <left/>
        <right/>
        <top/>
        <bottom style="thin">
          <color theme="4" tint="0.39997558519241921"/>
        </bottom>
      </border>
    </dxf>
    <dxf>
      <font>
        <b/>
        <i val="0"/>
        <strike val="0"/>
        <condense val="0"/>
        <extend val="0"/>
        <outline val="0"/>
        <shadow val="0"/>
        <u val="none"/>
        <vertAlign val="baseline"/>
        <sz val="12"/>
        <color theme="1"/>
        <name val="Bahnschrift"/>
        <family val="2"/>
        <scheme val="none"/>
      </font>
      <alignment horizontal="left" vertical="bottom" textRotation="0" wrapText="0" indent="0" justifyLastLine="0" shrinkToFit="0" readingOrder="0"/>
      <border diagonalUp="0" diagonalDown="0" outline="0">
        <left/>
        <right/>
        <top/>
        <bottom style="thin">
          <color theme="4" tint="0.39997558519241921"/>
        </bottom>
      </border>
    </dxf>
    <dxf>
      <fill>
        <patternFill>
          <bgColor rgb="FFFFC7CE"/>
        </patternFill>
      </fill>
    </dxf>
    <dxf>
      <fill>
        <patternFill patternType="solid">
          <fgColor indexed="64"/>
          <bgColor theme="4" tint="0.79998168889431442"/>
        </patternFill>
      </fill>
      <alignment horizontal="center" vertical="center" textRotation="0" wrapText="0" indent="0" justifyLastLine="0" shrinkToFit="0" readingOrder="0"/>
      <border diagonalUp="0" diagonalDown="0" outline="0">
        <left/>
        <right style="thin">
          <color indexed="64"/>
        </right>
        <top/>
        <bottom style="thin">
          <color indexed="64"/>
        </bottom>
      </border>
    </dxf>
    <dxf>
      <fill>
        <patternFill patternType="solid">
          <fgColor indexed="64"/>
          <bgColor theme="4" tint="0.79998168889431442"/>
        </patternFill>
      </fill>
      <alignment horizontal="center" vertical="center" textRotation="0" wrapText="0" indent="0" justifyLastLine="0" shrinkToFit="0" readingOrder="0"/>
      <border diagonalUp="0" diagonalDown="0" outline="0">
        <left/>
        <right/>
        <top/>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4" tint="0.79998168889431442"/>
        </patternFill>
      </fill>
      <alignment horizontal="center" vertical="center" textRotation="0" wrapText="0" indent="0" justifyLastLine="0" shrinkToFit="0" readingOrder="0"/>
      <border diagonalUp="0" diagonalDown="0" outline="0">
        <left style="thin">
          <color indexed="64"/>
        </left>
        <right/>
        <top/>
        <bottom style="thin">
          <color indexed="64"/>
        </bottom>
      </border>
    </dxf>
    <dxf>
      <border outline="0">
        <top style="thin">
          <color indexed="64"/>
        </top>
      </border>
    </dxf>
    <dxf>
      <border outline="0">
        <bottom style="thin">
          <color indexed="64"/>
        </bottom>
      </border>
    </dxf>
    <dxf>
      <font>
        <b/>
        <i val="0"/>
        <color theme="0"/>
      </font>
      <border>
        <bottom style="thin">
          <color theme="4"/>
        </bottom>
        <vertical/>
        <horizontal/>
      </border>
    </dxf>
    <dxf>
      <font>
        <b/>
        <i val="0"/>
        <color theme="0"/>
      </font>
      <fill>
        <patternFill>
          <bgColor theme="1" tint="0.14996795556505021"/>
        </patternFill>
      </fill>
      <border diagonalUp="0" diagonalDown="0">
        <left/>
        <right/>
        <top/>
        <bottom/>
        <vertical/>
        <horizontal/>
      </border>
    </dxf>
  </dxfs>
  <tableStyles count="1" defaultTableStyle="TableStyleMedium2" defaultPivotStyle="PivotStyleLight16">
    <tableStyle name="my" pivot="0" table="0" count="10" xr9:uid="{D0C6361A-640B-4A6C-8987-301721F03E25}">
      <tableStyleElement type="wholeTable" dxfId="69"/>
      <tableStyleElement type="headerRow" dxfId="68"/>
    </tableStyle>
  </tableStyles>
  <colors>
    <mruColors>
      <color rgb="FF009644"/>
      <color rgb="FF007A37"/>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92D05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6" tint="0.79998168889431442"/>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Analyzer.xlsx]Clustered chart!PivotTable8</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Categories wise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'Clustered chart'!$B$3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'Clustered chart'!$A$4:$A$9</c:f>
              <c:strCache>
                <c:ptCount val="5"/>
                <c:pt idx="0">
                  <c:v>Books</c:v>
                </c:pt>
                <c:pt idx="1">
                  <c:v>Clothing</c:v>
                </c:pt>
                <c:pt idx="2">
                  <c:v>Electronics</c:v>
                </c:pt>
                <c:pt idx="3">
                  <c:v>Furniture</c:v>
                </c:pt>
                <c:pt idx="4">
                  <c:v>Office Supplies</c:v>
                </c:pt>
              </c:strCache>
            </c:strRef>
          </c:cat>
          <c:val>
            <c:numRef>
              <c:f>'Clustered chart'!$B$4:$B$9</c:f>
              <c:numCache>
                <c:formatCode>General</c:formatCode>
                <c:ptCount val="5"/>
                <c:pt idx="0">
                  <c:v>47002.460000000006</c:v>
                </c:pt>
                <c:pt idx="1">
                  <c:v>41927.589999999989</c:v>
                </c:pt>
                <c:pt idx="2">
                  <c:v>41044.000000000007</c:v>
                </c:pt>
                <c:pt idx="3">
                  <c:v>36612.89</c:v>
                </c:pt>
                <c:pt idx="4">
                  <c:v>28630.819999999992</c:v>
                </c:pt>
              </c:numCache>
            </c:numRef>
          </c:val>
          <c:extLst>
            <c:ext xmlns:c16="http://schemas.microsoft.com/office/drawing/2014/chart" uri="{C3380CC4-5D6E-409C-BE32-E72D297353CC}">
              <c16:uniqueId val="{00000000-5298-4F5B-A313-9A34512F2394}"/>
            </c:ext>
          </c:extLst>
        </c:ser>
        <c:dLbls>
          <c:showLegendKey val="0"/>
          <c:showVal val="0"/>
          <c:showCatName val="0"/>
          <c:showSerName val="0"/>
          <c:showPercent val="0"/>
          <c:showBubbleSize val="0"/>
        </c:dLbls>
        <c:gapWidth val="115"/>
        <c:overlap val="-20"/>
        <c:axId val="701126095"/>
        <c:axId val="701124655"/>
      </c:barChart>
      <c:catAx>
        <c:axId val="701126095"/>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Categories</a:t>
                </a:r>
              </a:p>
            </c:rich>
          </c:tx>
          <c:layout>
            <c:manualLayout>
              <c:xMode val="edge"/>
              <c:yMode val="edge"/>
              <c:x val="2.6629067008606507E-2"/>
              <c:y val="0.417291941215676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1124655"/>
        <c:crosses val="autoZero"/>
        <c:auto val="1"/>
        <c:lblAlgn val="ctr"/>
        <c:lblOffset val="100"/>
        <c:noMultiLvlLbl val="0"/>
      </c:catAx>
      <c:valAx>
        <c:axId val="701124655"/>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Sum of Sales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1126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Analyzer.xlsx]Pie chart!PivotTable7</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Region-categories wise sales</a:t>
            </a:r>
          </a:p>
        </c:rich>
      </c:tx>
      <c:layout>
        <c:manualLayout>
          <c:xMode val="edge"/>
          <c:yMode val="edge"/>
          <c:x val="0.27272171406466428"/>
          <c:y val="4.629629629629629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480223450674054"/>
              <c:y val="0.181735199766695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'Pie chart'!$B$3:$B$4</c:f>
              <c:strCache>
                <c:ptCount val="1"/>
                <c:pt idx="0">
                  <c:v>Books</c:v>
                </c:pt>
              </c:strCache>
            </c:strRef>
          </c:tx>
          <c:explosion val="1"/>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F87-4B01-8C02-CEBBF4B644F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F87-4B01-8C02-CEBBF4B644F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F87-4B01-8C02-CEBBF4B644F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5F87-4B01-8C02-CEBBF4B644F3}"/>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5F87-4B01-8C02-CEBBF4B644F3}"/>
              </c:ext>
            </c:extLst>
          </c:dPt>
          <c:dLbls>
            <c:dLbl>
              <c:idx val="0"/>
              <c:layout>
                <c:manualLayout>
                  <c:x val="-0.14480223450674054"/>
                  <c:y val="0.1817351997666958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F87-4B01-8C02-CEBBF4B644F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'Pie chart'!$A$5:$A$10</c:f>
              <c:strCache>
                <c:ptCount val="5"/>
                <c:pt idx="0">
                  <c:v>Central</c:v>
                </c:pt>
                <c:pt idx="1">
                  <c:v>East</c:v>
                </c:pt>
                <c:pt idx="2">
                  <c:v>North</c:v>
                </c:pt>
                <c:pt idx="3">
                  <c:v>South</c:v>
                </c:pt>
                <c:pt idx="4">
                  <c:v>West</c:v>
                </c:pt>
              </c:strCache>
            </c:strRef>
          </c:cat>
          <c:val>
            <c:numRef>
              <c:f>'Pie chart'!$B$5:$B$10</c:f>
              <c:numCache>
                <c:formatCode>General</c:formatCode>
                <c:ptCount val="5"/>
                <c:pt idx="0">
                  <c:v>11297.150000000001</c:v>
                </c:pt>
                <c:pt idx="1">
                  <c:v>11389.090000000002</c:v>
                </c:pt>
                <c:pt idx="2">
                  <c:v>8037.0100000000011</c:v>
                </c:pt>
                <c:pt idx="3">
                  <c:v>9588.0400000000009</c:v>
                </c:pt>
                <c:pt idx="4">
                  <c:v>6691.17</c:v>
                </c:pt>
              </c:numCache>
            </c:numRef>
          </c:val>
          <c:extLst>
            <c:ext xmlns:c16="http://schemas.microsoft.com/office/drawing/2014/chart" uri="{C3380CC4-5D6E-409C-BE32-E72D297353CC}">
              <c16:uniqueId val="{00000000-9DAE-41EB-B237-7596F0FC833C}"/>
            </c:ext>
          </c:extLst>
        </c:ser>
        <c:ser>
          <c:idx val="1"/>
          <c:order val="1"/>
          <c:tx>
            <c:strRef>
              <c:f>'Pie chart'!$C$3:$C$4</c:f>
              <c:strCache>
                <c:ptCount val="1"/>
                <c:pt idx="0">
                  <c:v>Clothing</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'Pie chart'!$A$5:$A$10</c:f>
              <c:strCache>
                <c:ptCount val="5"/>
                <c:pt idx="0">
                  <c:v>Central</c:v>
                </c:pt>
                <c:pt idx="1">
                  <c:v>East</c:v>
                </c:pt>
                <c:pt idx="2">
                  <c:v>North</c:v>
                </c:pt>
                <c:pt idx="3">
                  <c:v>South</c:v>
                </c:pt>
                <c:pt idx="4">
                  <c:v>West</c:v>
                </c:pt>
              </c:strCache>
            </c:strRef>
          </c:cat>
          <c:val>
            <c:numRef>
              <c:f>'Pie chart'!$C$5:$C$10</c:f>
              <c:numCache>
                <c:formatCode>General</c:formatCode>
                <c:ptCount val="5"/>
                <c:pt idx="0">
                  <c:v>12200.26</c:v>
                </c:pt>
                <c:pt idx="1">
                  <c:v>2401.4499999999998</c:v>
                </c:pt>
                <c:pt idx="2">
                  <c:v>8422.82</c:v>
                </c:pt>
                <c:pt idx="3">
                  <c:v>8393.630000000001</c:v>
                </c:pt>
                <c:pt idx="4">
                  <c:v>10509.429999999998</c:v>
                </c:pt>
              </c:numCache>
            </c:numRef>
          </c:val>
          <c:extLst>
            <c:ext xmlns:c16="http://schemas.microsoft.com/office/drawing/2014/chart" uri="{C3380CC4-5D6E-409C-BE32-E72D297353CC}">
              <c16:uniqueId val="{00000024-C11A-4C22-9069-5761F323C6BF}"/>
            </c:ext>
          </c:extLst>
        </c:ser>
        <c:ser>
          <c:idx val="2"/>
          <c:order val="2"/>
          <c:tx>
            <c:strRef>
              <c:f>'Pie chart'!$D$3:$D$4</c:f>
              <c:strCache>
                <c:ptCount val="1"/>
                <c:pt idx="0">
                  <c:v>Electronics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'Pie chart'!$A$5:$A$10</c:f>
              <c:strCache>
                <c:ptCount val="5"/>
                <c:pt idx="0">
                  <c:v>Central</c:v>
                </c:pt>
                <c:pt idx="1">
                  <c:v>East</c:v>
                </c:pt>
                <c:pt idx="2">
                  <c:v>North</c:v>
                </c:pt>
                <c:pt idx="3">
                  <c:v>South</c:v>
                </c:pt>
                <c:pt idx="4">
                  <c:v>West</c:v>
                </c:pt>
              </c:strCache>
            </c:strRef>
          </c:cat>
          <c:val>
            <c:numRef>
              <c:f>'Pie chart'!$D$5:$D$10</c:f>
              <c:numCache>
                <c:formatCode>General</c:formatCode>
                <c:ptCount val="5"/>
                <c:pt idx="0">
                  <c:v>6621.24</c:v>
                </c:pt>
                <c:pt idx="1">
                  <c:v>2869.54</c:v>
                </c:pt>
                <c:pt idx="2">
                  <c:v>8191.7099999999991</c:v>
                </c:pt>
                <c:pt idx="3">
                  <c:v>11989.070000000003</c:v>
                </c:pt>
                <c:pt idx="4">
                  <c:v>11372.44</c:v>
                </c:pt>
              </c:numCache>
            </c:numRef>
          </c:val>
          <c:extLst>
            <c:ext xmlns:c16="http://schemas.microsoft.com/office/drawing/2014/chart" uri="{C3380CC4-5D6E-409C-BE32-E72D297353CC}">
              <c16:uniqueId val="{00000025-C11A-4C22-9069-5761F323C6BF}"/>
            </c:ext>
          </c:extLst>
        </c:ser>
        <c:ser>
          <c:idx val="3"/>
          <c:order val="3"/>
          <c:tx>
            <c:strRef>
              <c:f>'Pie chart'!$E$3:$E$4</c:f>
              <c:strCache>
                <c:ptCount val="1"/>
                <c:pt idx="0">
                  <c:v>Furniture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'Pie chart'!$A$5:$A$10</c:f>
              <c:strCache>
                <c:ptCount val="5"/>
                <c:pt idx="0">
                  <c:v>Central</c:v>
                </c:pt>
                <c:pt idx="1">
                  <c:v>East</c:v>
                </c:pt>
                <c:pt idx="2">
                  <c:v>North</c:v>
                </c:pt>
                <c:pt idx="3">
                  <c:v>South</c:v>
                </c:pt>
                <c:pt idx="4">
                  <c:v>West</c:v>
                </c:pt>
              </c:strCache>
            </c:strRef>
          </c:cat>
          <c:val>
            <c:numRef>
              <c:f>'Pie chart'!$E$5:$E$10</c:f>
              <c:numCache>
                <c:formatCode>General</c:formatCode>
                <c:ptCount val="5"/>
                <c:pt idx="0">
                  <c:v>4876.96</c:v>
                </c:pt>
                <c:pt idx="1">
                  <c:v>7592.3399999999992</c:v>
                </c:pt>
                <c:pt idx="2">
                  <c:v>6978.08</c:v>
                </c:pt>
                <c:pt idx="3">
                  <c:v>7982.73</c:v>
                </c:pt>
                <c:pt idx="4">
                  <c:v>9182.7800000000007</c:v>
                </c:pt>
              </c:numCache>
            </c:numRef>
          </c:val>
          <c:extLst>
            <c:ext xmlns:c16="http://schemas.microsoft.com/office/drawing/2014/chart" uri="{C3380CC4-5D6E-409C-BE32-E72D297353CC}">
              <c16:uniqueId val="{00000026-C11A-4C22-9069-5761F323C6BF}"/>
            </c:ext>
          </c:extLst>
        </c:ser>
        <c:ser>
          <c:idx val="4"/>
          <c:order val="4"/>
          <c:tx>
            <c:strRef>
              <c:f>'Pie chart'!$F$3:$F$4</c:f>
              <c:strCache>
                <c:ptCount val="1"/>
                <c:pt idx="0">
                  <c:v>Office Supplies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'Pie chart'!$A$5:$A$10</c:f>
              <c:strCache>
                <c:ptCount val="5"/>
                <c:pt idx="0">
                  <c:v>Central</c:v>
                </c:pt>
                <c:pt idx="1">
                  <c:v>East</c:v>
                </c:pt>
                <c:pt idx="2">
                  <c:v>North</c:v>
                </c:pt>
                <c:pt idx="3">
                  <c:v>South</c:v>
                </c:pt>
                <c:pt idx="4">
                  <c:v>West</c:v>
                </c:pt>
              </c:strCache>
            </c:strRef>
          </c:cat>
          <c:val>
            <c:numRef>
              <c:f>'Pie chart'!$F$5:$F$10</c:f>
              <c:numCache>
                <c:formatCode>General</c:formatCode>
                <c:ptCount val="5"/>
                <c:pt idx="0">
                  <c:v>8472.7199999999993</c:v>
                </c:pt>
                <c:pt idx="1">
                  <c:v>8189.2200000000012</c:v>
                </c:pt>
                <c:pt idx="2">
                  <c:v>3345.8</c:v>
                </c:pt>
                <c:pt idx="3">
                  <c:v>2295.3199999999997</c:v>
                </c:pt>
                <c:pt idx="4">
                  <c:v>6327.76</c:v>
                </c:pt>
              </c:numCache>
            </c:numRef>
          </c:val>
          <c:extLst>
            <c:ext xmlns:c16="http://schemas.microsoft.com/office/drawing/2014/chart" uri="{C3380CC4-5D6E-409C-BE32-E72D297353CC}">
              <c16:uniqueId val="{00000027-C11A-4C22-9069-5761F323C6B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 Bar Chart!PivotTable43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Most Valueable Customers</a:t>
            </a:r>
          </a:p>
        </c:rich>
      </c:tx>
      <c:layout>
        <c:manualLayout>
          <c:xMode val="edge"/>
          <c:yMode val="edge"/>
          <c:x val="0.26507633420822396"/>
          <c:y val="4.629629629629629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38449256342957"/>
          <c:y val="0.19689814814814816"/>
          <c:w val="0.76504396325459323"/>
          <c:h val="0.56621135899679209"/>
        </c:manualLayout>
      </c:layout>
      <c:barChart>
        <c:barDir val="col"/>
        <c:grouping val="clustered"/>
        <c:varyColors val="0"/>
        <c:ser>
          <c:idx val="0"/>
          <c:order val="0"/>
          <c:tx>
            <c:strRef>
              <c:f>' Bar Chart'!$B$3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 Bar Chart'!$A$4:$A$9</c:f>
              <c:strCache>
                <c:ptCount val="5"/>
                <c:pt idx="0">
                  <c:v>David Brown</c:v>
                </c:pt>
                <c:pt idx="1">
                  <c:v>Emma Davis</c:v>
                </c:pt>
                <c:pt idx="2">
                  <c:v>James Wilson</c:v>
                </c:pt>
                <c:pt idx="3">
                  <c:v>Mary Davis</c:v>
                </c:pt>
                <c:pt idx="4">
                  <c:v>Sarah Anderson</c:v>
                </c:pt>
              </c:strCache>
            </c:strRef>
          </c:cat>
          <c:val>
            <c:numRef>
              <c:f>' Bar Chart'!$B$4:$B$9</c:f>
              <c:numCache>
                <c:formatCode>0.00</c:formatCode>
                <c:ptCount val="5"/>
                <c:pt idx="0">
                  <c:v>103556.24600000001</c:v>
                </c:pt>
                <c:pt idx="1">
                  <c:v>97647.372000000003</c:v>
                </c:pt>
                <c:pt idx="2">
                  <c:v>204593.09</c:v>
                </c:pt>
                <c:pt idx="3">
                  <c:v>144780.96700000003</c:v>
                </c:pt>
                <c:pt idx="4">
                  <c:v>89828.194000000003</c:v>
                </c:pt>
              </c:numCache>
            </c:numRef>
          </c:val>
          <c:extLst>
            <c:ext xmlns:c16="http://schemas.microsoft.com/office/drawing/2014/chart" uri="{C3380CC4-5D6E-409C-BE32-E72D297353CC}">
              <c16:uniqueId val="{00000001-16D5-43C3-A9BD-35AC27D931A0}"/>
            </c:ext>
          </c:extLst>
        </c:ser>
        <c:dLbls>
          <c:showLegendKey val="0"/>
          <c:showVal val="0"/>
          <c:showCatName val="0"/>
          <c:showSerName val="0"/>
          <c:showPercent val="0"/>
          <c:showBubbleSize val="0"/>
        </c:dLbls>
        <c:gapWidth val="100"/>
        <c:overlap val="-24"/>
        <c:axId val="843632991"/>
        <c:axId val="843637311"/>
      </c:barChart>
      <c:catAx>
        <c:axId val="84363299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Customer_Name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3637311"/>
        <c:crosses val="autoZero"/>
        <c:auto val="1"/>
        <c:lblAlgn val="ctr"/>
        <c:lblOffset val="100"/>
        <c:noMultiLvlLbl val="0"/>
      </c:catAx>
      <c:valAx>
        <c:axId val="843637311"/>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Sum of  Purchase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3632991"/>
        <c:crosses val="autoZero"/>
        <c:crossBetween val="between"/>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Analyzer.xlsx]Line chart!PivotTable9</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Growth</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91490214342189"/>
          <c:y val="0.13516105342541088"/>
          <c:w val="0.82441847451324413"/>
          <c:h val="0.66714384980421992"/>
        </c:manualLayout>
      </c:layout>
      <c:lineChart>
        <c:grouping val="standard"/>
        <c:varyColors val="0"/>
        <c:ser>
          <c:idx val="0"/>
          <c:order val="0"/>
          <c:tx>
            <c:strRef>
              <c:f>'Line chart'!$B$3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'Line chart'!$A$4:$A$19</c:f>
              <c:multiLvlStrCache>
                <c:ptCount val="13"/>
                <c:lvl>
                  <c:pt idx="0">
                    <c:v>Apr</c:v>
                  </c:pt>
                  <c:pt idx="1">
                    <c:v>May</c:v>
                  </c:pt>
                  <c:pt idx="2">
                    <c:v>Jun</c:v>
                  </c:pt>
                  <c:pt idx="3">
                    <c:v>Jul</c:v>
                  </c:pt>
                  <c:pt idx="4">
                    <c:v>Aug</c:v>
                  </c:pt>
                  <c:pt idx="5">
                    <c:v>Sep</c:v>
                  </c:pt>
                  <c:pt idx="6">
                    <c:v>Oct</c:v>
                  </c:pt>
                  <c:pt idx="7">
                    <c:v>Nov</c:v>
                  </c:pt>
                  <c:pt idx="8">
                    <c:v>Dec</c:v>
                  </c:pt>
                  <c:pt idx="9">
                    <c:v>Jan</c:v>
                  </c:pt>
                  <c:pt idx="10">
                    <c:v>Feb</c:v>
                  </c:pt>
                  <c:pt idx="11">
                    <c:v>Mar</c:v>
                  </c:pt>
                  <c:pt idx="12">
                    <c:v>Apr</c:v>
                  </c:pt>
                </c:lvl>
                <c:lvl>
                  <c:pt idx="0">
                    <c:v>2024</c:v>
                  </c:pt>
                  <c:pt idx="9">
                    <c:v>2025</c:v>
                  </c:pt>
                </c:lvl>
              </c:multiLvlStrCache>
            </c:multiLvlStrRef>
          </c:cat>
          <c:val>
            <c:numRef>
              <c:f>'Line chart'!$B$4:$B$19</c:f>
              <c:numCache>
                <c:formatCode>General</c:formatCode>
                <c:ptCount val="13"/>
                <c:pt idx="0">
                  <c:v>19029.96</c:v>
                </c:pt>
                <c:pt idx="1">
                  <c:v>18507.339999999997</c:v>
                </c:pt>
                <c:pt idx="2">
                  <c:v>20187.509999999998</c:v>
                </c:pt>
                <c:pt idx="3">
                  <c:v>11609.039999999999</c:v>
                </c:pt>
                <c:pt idx="4">
                  <c:v>10091.699999999999</c:v>
                </c:pt>
                <c:pt idx="5">
                  <c:v>20533.499999999996</c:v>
                </c:pt>
                <c:pt idx="6">
                  <c:v>14215.240000000002</c:v>
                </c:pt>
                <c:pt idx="7">
                  <c:v>20135.030000000002</c:v>
                </c:pt>
                <c:pt idx="8">
                  <c:v>11120.04</c:v>
                </c:pt>
                <c:pt idx="9">
                  <c:v>14914.650000000001</c:v>
                </c:pt>
                <c:pt idx="10">
                  <c:v>14006.359999999999</c:v>
                </c:pt>
                <c:pt idx="11">
                  <c:v>17655.219999999998</c:v>
                </c:pt>
                <c:pt idx="12">
                  <c:v>3212.17</c:v>
                </c:pt>
              </c:numCache>
            </c:numRef>
          </c:val>
          <c:smooth val="0"/>
          <c:extLst>
            <c:ext xmlns:c16="http://schemas.microsoft.com/office/drawing/2014/chart" uri="{C3380CC4-5D6E-409C-BE32-E72D297353CC}">
              <c16:uniqueId val="{00000000-88EF-470D-9968-3FE28F7A3997}"/>
            </c:ext>
          </c:extLst>
        </c:ser>
        <c:dLbls>
          <c:showLegendKey val="0"/>
          <c:showVal val="0"/>
          <c:showCatName val="0"/>
          <c:showSerName val="0"/>
          <c:showPercent val="0"/>
          <c:showBubbleSize val="0"/>
        </c:dLbls>
        <c:marker val="1"/>
        <c:smooth val="0"/>
        <c:axId val="766597135"/>
        <c:axId val="766595215"/>
      </c:lineChart>
      <c:catAx>
        <c:axId val="76659713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6595215"/>
        <c:crosses val="autoZero"/>
        <c:auto val="1"/>
        <c:lblAlgn val="ctr"/>
        <c:lblOffset val="100"/>
        <c:noMultiLvlLbl val="0"/>
      </c:catAx>
      <c:valAx>
        <c:axId val="766595215"/>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6597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Analyzer.xlsx]Clustered chart!PivotTable8</c:name>
    <c:fmtId val="28"/>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92D05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a:noFill/>
          </a:ln>
          <a:effectLst>
            <a:glow rad="38100">
              <a:schemeClr val="accent3">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a:noFill/>
          </a:ln>
          <a:effectLst>
            <a:glow rad="38100">
              <a:schemeClr val="accent3">
                <a:satMod val="175000"/>
                <a:alpha val="40000"/>
              </a:schemeClr>
            </a:glow>
          </a:effectLst>
        </c:spPr>
      </c:pivotFmt>
    </c:pivotFmts>
    <c:plotArea>
      <c:layout>
        <c:manualLayout>
          <c:layoutTarget val="inner"/>
          <c:xMode val="edge"/>
          <c:yMode val="edge"/>
          <c:x val="0.22609738039396218"/>
          <c:y val="0.16706158921377232"/>
          <c:w val="0.71056692913385822"/>
          <c:h val="0.68542995573071352"/>
        </c:manualLayout>
      </c:layout>
      <c:barChart>
        <c:barDir val="bar"/>
        <c:grouping val="clustered"/>
        <c:varyColors val="0"/>
        <c:ser>
          <c:idx val="0"/>
          <c:order val="0"/>
          <c:tx>
            <c:strRef>
              <c:f>'Clustered chart'!$B$3</c:f>
              <c:strCache>
                <c:ptCount val="1"/>
                <c:pt idx="0">
                  <c:v>Total</c:v>
                </c:pt>
              </c:strCache>
            </c:strRef>
          </c:tx>
          <c:spPr>
            <a:solidFill>
              <a:schemeClr val="accent2">
                <a:lumMod val="75000"/>
              </a:schemeClr>
            </a:solidFill>
            <a:ln>
              <a:noFill/>
            </a:ln>
            <a:effectLst>
              <a:glow rad="38100">
                <a:schemeClr val="accent3">
                  <a:satMod val="175000"/>
                  <a:alpha val="40000"/>
                </a:schemeClr>
              </a:glow>
            </a:effectLst>
          </c:spPr>
          <c:invertIfNegative val="0"/>
          <c:cat>
            <c:strRef>
              <c:f>'Clustered chart'!$A$4:$A$9</c:f>
              <c:strCache>
                <c:ptCount val="5"/>
                <c:pt idx="0">
                  <c:v>Books</c:v>
                </c:pt>
                <c:pt idx="1">
                  <c:v>Clothing</c:v>
                </c:pt>
                <c:pt idx="2">
                  <c:v>Electronics</c:v>
                </c:pt>
                <c:pt idx="3">
                  <c:v>Furniture</c:v>
                </c:pt>
                <c:pt idx="4">
                  <c:v>Office Supplies</c:v>
                </c:pt>
              </c:strCache>
            </c:strRef>
          </c:cat>
          <c:val>
            <c:numRef>
              <c:f>'Clustered chart'!$B$4:$B$9</c:f>
              <c:numCache>
                <c:formatCode>General</c:formatCode>
                <c:ptCount val="5"/>
                <c:pt idx="0">
                  <c:v>47002.460000000006</c:v>
                </c:pt>
                <c:pt idx="1">
                  <c:v>41927.589999999989</c:v>
                </c:pt>
                <c:pt idx="2">
                  <c:v>41044.000000000007</c:v>
                </c:pt>
                <c:pt idx="3">
                  <c:v>36612.89</c:v>
                </c:pt>
                <c:pt idx="4">
                  <c:v>28630.819999999992</c:v>
                </c:pt>
              </c:numCache>
            </c:numRef>
          </c:val>
          <c:extLst>
            <c:ext xmlns:c16="http://schemas.microsoft.com/office/drawing/2014/chart" uri="{C3380CC4-5D6E-409C-BE32-E72D297353CC}">
              <c16:uniqueId val="{00000000-6DBB-44DC-ACD4-29E449464702}"/>
            </c:ext>
          </c:extLst>
        </c:ser>
        <c:dLbls>
          <c:showLegendKey val="0"/>
          <c:showVal val="0"/>
          <c:showCatName val="0"/>
          <c:showSerName val="0"/>
          <c:showPercent val="0"/>
          <c:showBubbleSize val="0"/>
        </c:dLbls>
        <c:gapWidth val="115"/>
        <c:overlap val="-20"/>
        <c:axId val="701126095"/>
        <c:axId val="701124655"/>
      </c:barChart>
      <c:catAx>
        <c:axId val="701126095"/>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701124655"/>
        <c:crosses val="autoZero"/>
        <c:auto val="1"/>
        <c:lblAlgn val="ctr"/>
        <c:lblOffset val="100"/>
        <c:noMultiLvlLbl val="0"/>
      </c:catAx>
      <c:valAx>
        <c:axId val="70112465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701126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 Bar Chart!PivotTable43</c:name>
    <c:fmtId val="10"/>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2">
              <a:lumMod val="75000"/>
            </a:schemeClr>
          </a:solidFill>
          <a:ln>
            <a:noFill/>
          </a:ln>
          <a:effectLst>
            <a:glow rad="25400">
              <a:schemeClr val="accent3">
                <a:satMod val="175000"/>
                <a:alpha val="40000"/>
              </a:schemeClr>
            </a:glow>
          </a:effectLst>
        </c:spPr>
        <c:marker>
          <c:symbol val="none"/>
        </c:marker>
        <c:dLbl>
          <c:idx val="0"/>
          <c:delete val="1"/>
          <c:extLst>
            <c:ext xmlns:c15="http://schemas.microsoft.com/office/drawing/2012/chart" uri="{CE6537A1-D6FC-4f65-9D91-7224C49458BB}"/>
          </c:extLst>
        </c:dLbl>
      </c:pivotFmt>
      <c:pivotFmt>
        <c:idx val="6"/>
      </c:pivotFmt>
    </c:pivotFmts>
    <c:plotArea>
      <c:layout>
        <c:manualLayout>
          <c:layoutTarget val="inner"/>
          <c:xMode val="edge"/>
          <c:yMode val="edge"/>
          <c:x val="0.22311246424773962"/>
          <c:y val="4.5653819668695438E-2"/>
          <c:w val="0.65949533388446457"/>
          <c:h val="0.7388478247939696"/>
        </c:manualLayout>
      </c:layout>
      <c:barChart>
        <c:barDir val="col"/>
        <c:grouping val="clustered"/>
        <c:varyColors val="0"/>
        <c:ser>
          <c:idx val="0"/>
          <c:order val="0"/>
          <c:tx>
            <c:strRef>
              <c:f>' Bar Chart'!$B$3</c:f>
              <c:strCache>
                <c:ptCount val="1"/>
                <c:pt idx="0">
                  <c:v>Total</c:v>
                </c:pt>
              </c:strCache>
            </c:strRef>
          </c:tx>
          <c:spPr>
            <a:solidFill>
              <a:schemeClr val="accent2">
                <a:lumMod val="75000"/>
              </a:schemeClr>
            </a:solidFill>
            <a:ln>
              <a:noFill/>
            </a:ln>
            <a:effectLst>
              <a:glow rad="25400">
                <a:schemeClr val="accent3">
                  <a:satMod val="175000"/>
                  <a:alpha val="40000"/>
                </a:schemeClr>
              </a:glow>
            </a:effectLst>
          </c:spPr>
          <c:invertIfNegative val="0"/>
          <c:cat>
            <c:strRef>
              <c:f>' Bar Chart'!$A$4:$A$9</c:f>
              <c:strCache>
                <c:ptCount val="5"/>
                <c:pt idx="0">
                  <c:v>David Brown</c:v>
                </c:pt>
                <c:pt idx="1">
                  <c:v>Emma Davis</c:v>
                </c:pt>
                <c:pt idx="2">
                  <c:v>James Wilson</c:v>
                </c:pt>
                <c:pt idx="3">
                  <c:v>Mary Davis</c:v>
                </c:pt>
                <c:pt idx="4">
                  <c:v>Sarah Anderson</c:v>
                </c:pt>
              </c:strCache>
            </c:strRef>
          </c:cat>
          <c:val>
            <c:numRef>
              <c:f>' Bar Chart'!$B$4:$B$9</c:f>
              <c:numCache>
                <c:formatCode>0.00</c:formatCode>
                <c:ptCount val="5"/>
                <c:pt idx="0">
                  <c:v>103556.24600000001</c:v>
                </c:pt>
                <c:pt idx="1">
                  <c:v>97647.372000000003</c:v>
                </c:pt>
                <c:pt idx="2">
                  <c:v>204593.09</c:v>
                </c:pt>
                <c:pt idx="3">
                  <c:v>144780.96700000003</c:v>
                </c:pt>
                <c:pt idx="4">
                  <c:v>89828.194000000003</c:v>
                </c:pt>
              </c:numCache>
            </c:numRef>
          </c:val>
          <c:extLst>
            <c:ext xmlns:c16="http://schemas.microsoft.com/office/drawing/2014/chart" uri="{C3380CC4-5D6E-409C-BE32-E72D297353CC}">
              <c16:uniqueId val="{00000000-6233-4A80-90A6-88B9D3F10651}"/>
            </c:ext>
          </c:extLst>
        </c:ser>
        <c:dLbls>
          <c:showLegendKey val="0"/>
          <c:showVal val="0"/>
          <c:showCatName val="0"/>
          <c:showSerName val="0"/>
          <c:showPercent val="0"/>
          <c:showBubbleSize val="0"/>
        </c:dLbls>
        <c:gapWidth val="156"/>
        <c:overlap val="2"/>
        <c:axId val="843632991"/>
        <c:axId val="843637311"/>
      </c:barChart>
      <c:catAx>
        <c:axId val="843632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843637311"/>
        <c:crosses val="autoZero"/>
        <c:auto val="1"/>
        <c:lblAlgn val="ctr"/>
        <c:lblOffset val="100"/>
        <c:noMultiLvlLbl val="0"/>
      </c:catAx>
      <c:valAx>
        <c:axId val="843637311"/>
        <c:scaling>
          <c:orientation val="minMax"/>
        </c:scaling>
        <c:delete val="0"/>
        <c:axPos val="l"/>
        <c:majorGridlines>
          <c:spPr>
            <a:ln w="3175" cap="flat" cmpd="sng" algn="ctr">
              <a:solidFill>
                <a:schemeClr val="tx1">
                  <a:lumMod val="15000"/>
                  <a:lumOff val="85000"/>
                  <a:alpha val="93000"/>
                </a:schemeClr>
              </a:solidFill>
              <a:prstDash val="lgDashDotDot"/>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843632991"/>
        <c:crosses val="autoZero"/>
        <c:crossBetween val="between"/>
      </c:valAx>
      <c:spPr>
        <a:noFill/>
        <a:ln>
          <a:noFill/>
        </a:ln>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 2 Analyzer.xlsx]Pie chart!PivotTable7</c:name>
    <c:fmtId val="12"/>
  </c:pivotSource>
  <c:chart>
    <c:autoTitleDeleted val="1"/>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1"/>
      </c:pivotFmt>
      <c:pivotFmt>
        <c:idx val="62"/>
      </c:pivotFmt>
      <c:pivotFmt>
        <c:idx val="63"/>
      </c:pivotFmt>
      <c:pivotFmt>
        <c:idx val="64"/>
      </c:pivotFmt>
      <c:pivotFmt>
        <c:idx val="65"/>
      </c:pivotFmt>
      <c:pivotFmt>
        <c:idx val="6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7"/>
      </c:pivotFmt>
      <c:pivotFmt>
        <c:idx val="68"/>
      </c:pivotFmt>
      <c:pivotFmt>
        <c:idx val="69"/>
      </c:pivotFmt>
      <c:pivotFmt>
        <c:idx val="70"/>
      </c:pivotFmt>
      <c:pivotFmt>
        <c:idx val="71"/>
      </c:pivotFmt>
      <c:pivotFmt>
        <c:idx val="7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3"/>
      </c:pivotFmt>
      <c:pivotFmt>
        <c:idx val="74"/>
      </c:pivotFmt>
      <c:pivotFmt>
        <c:idx val="75"/>
      </c:pivotFmt>
      <c:pivotFmt>
        <c:idx val="76"/>
      </c:pivotFmt>
      <c:pivotFmt>
        <c:idx val="77"/>
      </c:pivotFmt>
      <c:pivotFmt>
        <c:idx val="7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9"/>
      </c:pivotFmt>
      <c:pivotFmt>
        <c:idx val="80"/>
      </c:pivotFmt>
      <c:pivotFmt>
        <c:idx val="81"/>
      </c:pivotFmt>
      <c:pivotFmt>
        <c:idx val="82"/>
      </c:pivotFmt>
      <c:pivotFmt>
        <c:idx val="83"/>
      </c:pivotFmt>
      <c:pivotFmt>
        <c:idx val="8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85"/>
      </c:pivotFmt>
      <c:pivotFmt>
        <c:idx val="86"/>
      </c:pivotFmt>
      <c:pivotFmt>
        <c:idx val="87"/>
      </c:pivotFmt>
      <c:pivotFmt>
        <c:idx val="88"/>
      </c:pivotFmt>
      <c:pivotFmt>
        <c:idx val="89"/>
      </c:pivotFmt>
      <c:pivotFmt>
        <c:idx val="9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1"/>
      </c:pivotFmt>
      <c:pivotFmt>
        <c:idx val="92"/>
      </c:pivotFmt>
      <c:pivotFmt>
        <c:idx val="93"/>
      </c:pivotFmt>
      <c:pivotFmt>
        <c:idx val="94"/>
      </c:pivotFmt>
      <c:pivotFmt>
        <c:idx val="95"/>
      </c:pivotFmt>
      <c:pivotFmt>
        <c:idx val="9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7"/>
      </c:pivotFmt>
      <c:pivotFmt>
        <c:idx val="98"/>
      </c:pivotFmt>
      <c:pivotFmt>
        <c:idx val="99"/>
      </c:pivotFmt>
      <c:pivotFmt>
        <c:idx val="100"/>
      </c:pivotFmt>
      <c:pivotFmt>
        <c:idx val="101"/>
      </c:pivotFmt>
      <c:pivotFmt>
        <c:idx val="10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3"/>
      </c:pivotFmt>
      <c:pivotFmt>
        <c:idx val="104"/>
      </c:pivotFmt>
      <c:pivotFmt>
        <c:idx val="105"/>
      </c:pivotFmt>
      <c:pivotFmt>
        <c:idx val="106"/>
      </c:pivotFmt>
      <c:pivotFmt>
        <c:idx val="107"/>
      </c:pivotFmt>
      <c:pivotFmt>
        <c:idx val="10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9"/>
      </c:pivotFmt>
      <c:pivotFmt>
        <c:idx val="110"/>
      </c:pivotFmt>
      <c:pivotFmt>
        <c:idx val="111"/>
      </c:pivotFmt>
      <c:pivotFmt>
        <c:idx val="112"/>
      </c:pivotFmt>
      <c:pivotFmt>
        <c:idx val="113"/>
      </c:pivotFmt>
      <c:pivotFmt>
        <c:idx val="11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15"/>
      </c:pivotFmt>
      <c:pivotFmt>
        <c:idx val="116"/>
      </c:pivotFmt>
      <c:pivotFmt>
        <c:idx val="117"/>
      </c:pivotFmt>
      <c:pivotFmt>
        <c:idx val="118"/>
      </c:pivotFmt>
      <c:pivotFmt>
        <c:idx val="119"/>
      </c:pivotFmt>
      <c:pivotFmt>
        <c:idx val="120"/>
        <c:spPr>
          <a:solidFill>
            <a:schemeClr val="accent3"/>
          </a:solidFill>
          <a:ln w="19050">
            <a:solidFill>
              <a:srgbClr val="002060"/>
            </a:solidFill>
          </a:ln>
          <a:effectLst>
            <a:glow rad="38100">
              <a:srgbClr val="92D050"/>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21"/>
        <c:spPr>
          <a:solidFill>
            <a:schemeClr val="accent6">
              <a:lumMod val="75000"/>
            </a:schemeClr>
          </a:solidFill>
          <a:ln w="19050">
            <a:solidFill>
              <a:srgbClr val="002060"/>
            </a:solidFill>
          </a:ln>
          <a:effectLst>
            <a:glow rad="38100">
              <a:srgbClr val="92D050"/>
            </a:glow>
          </a:effectLst>
        </c:spPr>
      </c:pivotFmt>
      <c:pivotFmt>
        <c:idx val="122"/>
        <c:spPr>
          <a:solidFill>
            <a:schemeClr val="accent3"/>
          </a:solidFill>
          <a:ln w="19050">
            <a:solidFill>
              <a:srgbClr val="92D050"/>
            </a:solidFill>
          </a:ln>
          <a:effectLst>
            <a:glow rad="38100">
              <a:srgbClr val="92D050"/>
            </a:glow>
          </a:effectLst>
        </c:spPr>
      </c:pivotFmt>
      <c:pivotFmt>
        <c:idx val="123"/>
        <c:spPr>
          <a:solidFill>
            <a:schemeClr val="accent6">
              <a:lumMod val="60000"/>
              <a:lumOff val="40000"/>
            </a:schemeClr>
          </a:solidFill>
          <a:ln w="19050">
            <a:solidFill>
              <a:srgbClr val="002060"/>
            </a:solidFill>
          </a:ln>
          <a:effectLst>
            <a:glow rad="38100">
              <a:srgbClr val="92D050"/>
            </a:glow>
          </a:effectLst>
        </c:spPr>
      </c:pivotFmt>
      <c:pivotFmt>
        <c:idx val="124"/>
        <c:spPr>
          <a:solidFill>
            <a:schemeClr val="accent3"/>
          </a:solidFill>
          <a:ln w="19050">
            <a:solidFill>
              <a:srgbClr val="002060"/>
            </a:solidFill>
          </a:ln>
          <a:effectLst>
            <a:glow rad="38100">
              <a:srgbClr val="92D050"/>
            </a:glow>
          </a:effectLst>
        </c:spPr>
      </c:pivotFmt>
      <c:pivotFmt>
        <c:idx val="125"/>
        <c:spPr>
          <a:solidFill>
            <a:schemeClr val="accent3"/>
          </a:solidFill>
          <a:ln w="19050">
            <a:solidFill>
              <a:srgbClr val="002060"/>
            </a:solidFill>
          </a:ln>
          <a:effectLst>
            <a:glow rad="38100">
              <a:srgbClr val="92D050"/>
            </a:glow>
          </a:effectLst>
        </c:spPr>
      </c:pivotFmt>
      <c:pivotFmt>
        <c:idx val="126"/>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127"/>
        <c:spPr>
          <a:solidFill>
            <a:schemeClr val="accent3"/>
          </a:solidFill>
          <a:ln w="19050">
            <a:solidFill>
              <a:schemeClr val="lt1"/>
            </a:solidFill>
          </a:ln>
          <a:effectLst/>
        </c:spPr>
      </c:pivotFmt>
      <c:pivotFmt>
        <c:idx val="128"/>
        <c:spPr>
          <a:solidFill>
            <a:schemeClr val="accent3"/>
          </a:solidFill>
          <a:ln w="19050">
            <a:solidFill>
              <a:schemeClr val="lt1"/>
            </a:solidFill>
          </a:ln>
          <a:effectLst/>
        </c:spPr>
      </c:pivotFmt>
      <c:pivotFmt>
        <c:idx val="129"/>
        <c:spPr>
          <a:solidFill>
            <a:schemeClr val="accent3"/>
          </a:solidFill>
          <a:ln w="19050">
            <a:solidFill>
              <a:schemeClr val="lt1"/>
            </a:solidFill>
          </a:ln>
          <a:effectLst/>
        </c:spPr>
      </c:pivotFmt>
      <c:pivotFmt>
        <c:idx val="130"/>
        <c:spPr>
          <a:solidFill>
            <a:schemeClr val="accent3"/>
          </a:solidFill>
          <a:ln w="19050">
            <a:solidFill>
              <a:schemeClr val="lt1"/>
            </a:solidFill>
          </a:ln>
          <a:effectLst/>
        </c:spPr>
      </c:pivotFmt>
      <c:pivotFmt>
        <c:idx val="131"/>
        <c:spPr>
          <a:solidFill>
            <a:schemeClr val="accent3"/>
          </a:solidFill>
          <a:ln w="19050">
            <a:solidFill>
              <a:schemeClr val="lt1"/>
            </a:solidFill>
          </a:ln>
          <a:effectLst/>
        </c:spPr>
      </c:pivotFmt>
      <c:pivotFmt>
        <c:idx val="132"/>
        <c:spPr>
          <a:solidFill>
            <a:srgbClr val="FFC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3"/>
        <c:spPr>
          <a:solidFill>
            <a:schemeClr val="accent3"/>
          </a:solidFill>
          <a:ln w="19050">
            <a:solidFill>
              <a:schemeClr val="lt1"/>
            </a:solidFill>
          </a:ln>
          <a:effectLst/>
        </c:spPr>
      </c:pivotFmt>
      <c:pivotFmt>
        <c:idx val="134"/>
        <c:spPr>
          <a:solidFill>
            <a:schemeClr val="accent3"/>
          </a:solidFill>
          <a:ln w="19050">
            <a:solidFill>
              <a:schemeClr val="lt1"/>
            </a:solidFill>
          </a:ln>
          <a:effectLst/>
        </c:spPr>
      </c:pivotFmt>
      <c:pivotFmt>
        <c:idx val="135"/>
        <c:spPr>
          <a:solidFill>
            <a:srgbClr val="FFC000"/>
          </a:solidFill>
          <a:ln w="19050">
            <a:solidFill>
              <a:schemeClr val="lt1"/>
            </a:solidFill>
          </a:ln>
          <a:effectLst/>
        </c:spPr>
      </c:pivotFmt>
      <c:pivotFmt>
        <c:idx val="136"/>
        <c:spPr>
          <a:solidFill>
            <a:schemeClr val="accent3"/>
          </a:solidFill>
          <a:ln w="19050">
            <a:solidFill>
              <a:schemeClr val="lt1"/>
            </a:solidFill>
          </a:ln>
          <a:effectLst/>
        </c:spPr>
      </c:pivotFmt>
      <c:pivotFmt>
        <c:idx val="137"/>
        <c:spPr>
          <a:solidFill>
            <a:schemeClr val="accent3"/>
          </a:solidFill>
          <a:ln w="19050">
            <a:solidFill>
              <a:schemeClr val="lt1"/>
            </a:solidFill>
          </a:ln>
          <a:effectLst/>
        </c:spPr>
      </c:pivotFmt>
      <c:pivotFmt>
        <c:idx val="138"/>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139"/>
        <c:spPr>
          <a:solidFill>
            <a:schemeClr val="accent3"/>
          </a:solidFill>
          <a:ln w="19050">
            <a:solidFill>
              <a:schemeClr val="lt1"/>
            </a:solidFill>
          </a:ln>
          <a:effectLst/>
        </c:spPr>
      </c:pivotFmt>
      <c:pivotFmt>
        <c:idx val="140"/>
        <c:spPr>
          <a:solidFill>
            <a:schemeClr val="accent3"/>
          </a:solidFill>
          <a:ln w="19050">
            <a:solidFill>
              <a:schemeClr val="lt1"/>
            </a:solidFill>
          </a:ln>
          <a:effectLst/>
        </c:spPr>
      </c:pivotFmt>
      <c:pivotFmt>
        <c:idx val="141"/>
        <c:spPr>
          <a:solidFill>
            <a:schemeClr val="accent3"/>
          </a:solidFill>
          <a:ln w="19050">
            <a:solidFill>
              <a:schemeClr val="lt1"/>
            </a:solidFill>
          </a:ln>
          <a:effectLst/>
        </c:spPr>
      </c:pivotFmt>
      <c:pivotFmt>
        <c:idx val="142"/>
        <c:spPr>
          <a:solidFill>
            <a:schemeClr val="accent3"/>
          </a:solidFill>
          <a:ln w="19050">
            <a:solidFill>
              <a:schemeClr val="lt1"/>
            </a:solidFill>
          </a:ln>
          <a:effectLst/>
        </c:spPr>
      </c:pivotFmt>
      <c:pivotFmt>
        <c:idx val="143"/>
        <c:spPr>
          <a:solidFill>
            <a:schemeClr val="accent3"/>
          </a:solidFill>
          <a:ln w="19050">
            <a:solidFill>
              <a:schemeClr val="lt1"/>
            </a:solidFill>
          </a:ln>
          <a:effectLst/>
        </c:spPr>
      </c:pivotFmt>
      <c:pivotFmt>
        <c:idx val="144"/>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145"/>
        <c:spPr>
          <a:solidFill>
            <a:schemeClr val="accent3"/>
          </a:solidFill>
          <a:ln w="19050">
            <a:solidFill>
              <a:schemeClr val="lt1"/>
            </a:solidFill>
          </a:ln>
          <a:effectLst/>
        </c:spPr>
      </c:pivotFmt>
      <c:pivotFmt>
        <c:idx val="146"/>
        <c:spPr>
          <a:solidFill>
            <a:schemeClr val="accent3"/>
          </a:solidFill>
          <a:ln w="19050">
            <a:solidFill>
              <a:schemeClr val="lt1"/>
            </a:solidFill>
          </a:ln>
          <a:effectLst/>
        </c:spPr>
      </c:pivotFmt>
      <c:pivotFmt>
        <c:idx val="147"/>
        <c:spPr>
          <a:solidFill>
            <a:schemeClr val="accent3"/>
          </a:solidFill>
          <a:ln w="19050">
            <a:solidFill>
              <a:schemeClr val="lt1"/>
            </a:solidFill>
          </a:ln>
          <a:effectLst/>
        </c:spPr>
      </c:pivotFmt>
      <c:pivotFmt>
        <c:idx val="148"/>
        <c:spPr>
          <a:solidFill>
            <a:schemeClr val="accent3"/>
          </a:solidFill>
          <a:ln w="19050">
            <a:solidFill>
              <a:schemeClr val="lt1"/>
            </a:solidFill>
          </a:ln>
          <a:effectLst/>
        </c:spPr>
      </c:pivotFmt>
      <c:pivotFmt>
        <c:idx val="149"/>
        <c:spPr>
          <a:solidFill>
            <a:schemeClr val="accent3"/>
          </a:solidFill>
          <a:ln w="19050">
            <a:solidFill>
              <a:schemeClr val="lt1"/>
            </a:solidFill>
          </a:ln>
          <a:effectLst/>
        </c:spPr>
      </c:pivotFmt>
      <c:pivotFmt>
        <c:idx val="15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508418034515893E-2"/>
          <c:y val="8.7860435847093351E-3"/>
          <c:w val="0.89727842370737532"/>
          <c:h val="0.96883308218097086"/>
        </c:manualLayout>
      </c:layout>
      <c:pieChart>
        <c:varyColors val="1"/>
        <c:ser>
          <c:idx val="0"/>
          <c:order val="0"/>
          <c:tx>
            <c:strRef>
              <c:f>'Pie chart'!$B$3:$B$4</c:f>
              <c:strCache>
                <c:ptCount val="1"/>
                <c:pt idx="0">
                  <c:v>Books</c:v>
                </c:pt>
              </c:strCache>
            </c:strRef>
          </c:tx>
          <c:spPr>
            <a:ln>
              <a:solidFill>
                <a:srgbClr val="002060"/>
              </a:solidFill>
            </a:ln>
            <a:effectLst>
              <a:glow rad="38100">
                <a:srgbClr val="92D050"/>
              </a:glow>
            </a:effectLst>
          </c:spPr>
          <c:explosion val="2"/>
          <c:dPt>
            <c:idx val="0"/>
            <c:bubble3D val="0"/>
            <c:spPr>
              <a:solidFill>
                <a:schemeClr val="accent6">
                  <a:lumMod val="75000"/>
                </a:schemeClr>
              </a:solidFill>
              <a:ln w="19050">
                <a:solidFill>
                  <a:srgbClr val="002060"/>
                </a:solidFill>
              </a:ln>
              <a:effectLst>
                <a:glow rad="38100">
                  <a:srgbClr val="92D050"/>
                </a:glow>
              </a:effectLst>
            </c:spPr>
            <c:extLst>
              <c:ext xmlns:c16="http://schemas.microsoft.com/office/drawing/2014/chart" uri="{C3380CC4-5D6E-409C-BE32-E72D297353CC}">
                <c16:uniqueId val="{00000001-25BC-4204-A6AB-CE18C31F30EC}"/>
              </c:ext>
            </c:extLst>
          </c:dPt>
          <c:dPt>
            <c:idx val="1"/>
            <c:bubble3D val="0"/>
            <c:spPr>
              <a:solidFill>
                <a:schemeClr val="accent3">
                  <a:tint val="77000"/>
                </a:schemeClr>
              </a:solidFill>
              <a:ln w="19050">
                <a:solidFill>
                  <a:srgbClr val="92D050"/>
                </a:solidFill>
              </a:ln>
              <a:effectLst>
                <a:glow rad="38100">
                  <a:srgbClr val="92D050"/>
                </a:glow>
              </a:effectLst>
            </c:spPr>
            <c:extLst>
              <c:ext xmlns:c16="http://schemas.microsoft.com/office/drawing/2014/chart" uri="{C3380CC4-5D6E-409C-BE32-E72D297353CC}">
                <c16:uniqueId val="{00000003-25BC-4204-A6AB-CE18C31F30EC}"/>
              </c:ext>
            </c:extLst>
          </c:dPt>
          <c:dPt>
            <c:idx val="2"/>
            <c:bubble3D val="0"/>
            <c:spPr>
              <a:solidFill>
                <a:schemeClr val="accent6">
                  <a:lumMod val="60000"/>
                  <a:lumOff val="40000"/>
                </a:schemeClr>
              </a:solidFill>
              <a:ln w="19050">
                <a:solidFill>
                  <a:srgbClr val="002060"/>
                </a:solidFill>
              </a:ln>
              <a:effectLst>
                <a:glow rad="38100">
                  <a:srgbClr val="92D050"/>
                </a:glow>
              </a:effectLst>
            </c:spPr>
            <c:extLst>
              <c:ext xmlns:c16="http://schemas.microsoft.com/office/drawing/2014/chart" uri="{C3380CC4-5D6E-409C-BE32-E72D297353CC}">
                <c16:uniqueId val="{00000005-25BC-4204-A6AB-CE18C31F30EC}"/>
              </c:ext>
            </c:extLst>
          </c:dPt>
          <c:dPt>
            <c:idx val="3"/>
            <c:bubble3D val="0"/>
            <c:spPr>
              <a:solidFill>
                <a:schemeClr val="accent3">
                  <a:shade val="76000"/>
                </a:schemeClr>
              </a:solidFill>
              <a:ln w="19050">
                <a:solidFill>
                  <a:srgbClr val="002060"/>
                </a:solidFill>
              </a:ln>
              <a:effectLst>
                <a:glow rad="38100">
                  <a:srgbClr val="92D050"/>
                </a:glow>
              </a:effectLst>
            </c:spPr>
            <c:extLst>
              <c:ext xmlns:c16="http://schemas.microsoft.com/office/drawing/2014/chart" uri="{C3380CC4-5D6E-409C-BE32-E72D297353CC}">
                <c16:uniqueId val="{00000007-25BC-4204-A6AB-CE18C31F30EC}"/>
              </c:ext>
            </c:extLst>
          </c:dPt>
          <c:dPt>
            <c:idx val="4"/>
            <c:bubble3D val="0"/>
            <c:spPr>
              <a:solidFill>
                <a:schemeClr val="accent3">
                  <a:shade val="53000"/>
                </a:schemeClr>
              </a:solidFill>
              <a:ln w="19050">
                <a:solidFill>
                  <a:srgbClr val="002060"/>
                </a:solidFill>
              </a:ln>
              <a:effectLst>
                <a:glow rad="38100">
                  <a:srgbClr val="92D050"/>
                </a:glow>
              </a:effectLst>
            </c:spPr>
            <c:extLst>
              <c:ext xmlns:c16="http://schemas.microsoft.com/office/drawing/2014/chart" uri="{C3380CC4-5D6E-409C-BE32-E72D297353CC}">
                <c16:uniqueId val="{00000009-25BC-4204-A6AB-CE18C31F30E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chart'!$A$5:$A$10</c:f>
              <c:strCache>
                <c:ptCount val="5"/>
                <c:pt idx="0">
                  <c:v>Central</c:v>
                </c:pt>
                <c:pt idx="1">
                  <c:v>East</c:v>
                </c:pt>
                <c:pt idx="2">
                  <c:v>North</c:v>
                </c:pt>
                <c:pt idx="3">
                  <c:v>South</c:v>
                </c:pt>
                <c:pt idx="4">
                  <c:v>West</c:v>
                </c:pt>
              </c:strCache>
            </c:strRef>
          </c:cat>
          <c:val>
            <c:numRef>
              <c:f>'Pie chart'!$B$5:$B$10</c:f>
              <c:numCache>
                <c:formatCode>General</c:formatCode>
                <c:ptCount val="5"/>
                <c:pt idx="0">
                  <c:v>11297.150000000001</c:v>
                </c:pt>
                <c:pt idx="1">
                  <c:v>11389.090000000002</c:v>
                </c:pt>
                <c:pt idx="2">
                  <c:v>8037.0100000000011</c:v>
                </c:pt>
                <c:pt idx="3">
                  <c:v>9588.0400000000009</c:v>
                </c:pt>
                <c:pt idx="4">
                  <c:v>6691.17</c:v>
                </c:pt>
              </c:numCache>
            </c:numRef>
          </c:val>
          <c:extLst>
            <c:ext xmlns:c16="http://schemas.microsoft.com/office/drawing/2014/chart" uri="{C3380CC4-5D6E-409C-BE32-E72D297353CC}">
              <c16:uniqueId val="{0000000A-25BC-4204-A6AB-CE18C31F30EC}"/>
            </c:ext>
          </c:extLst>
        </c:ser>
        <c:ser>
          <c:idx val="1"/>
          <c:order val="1"/>
          <c:tx>
            <c:strRef>
              <c:f>'Pie chart'!$C$3:$C$4</c:f>
              <c:strCache>
                <c:ptCount val="1"/>
                <c:pt idx="0">
                  <c:v>Clothing</c:v>
                </c:pt>
              </c:strCache>
            </c:strRef>
          </c:tx>
          <c:dPt>
            <c:idx val="0"/>
            <c:bubble3D val="0"/>
            <c:spPr>
              <a:solidFill>
                <a:schemeClr val="accent3">
                  <a:tint val="54000"/>
                </a:schemeClr>
              </a:solidFill>
              <a:ln w="19050">
                <a:solidFill>
                  <a:schemeClr val="lt1"/>
                </a:solidFill>
              </a:ln>
              <a:effectLst/>
            </c:spPr>
          </c:dPt>
          <c:dPt>
            <c:idx val="1"/>
            <c:bubble3D val="0"/>
            <c:spPr>
              <a:solidFill>
                <a:schemeClr val="accent3">
                  <a:tint val="77000"/>
                </a:schemeClr>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3">
                  <a:shade val="76000"/>
                </a:schemeClr>
              </a:solidFill>
              <a:ln w="19050">
                <a:solidFill>
                  <a:schemeClr val="lt1"/>
                </a:solidFill>
              </a:ln>
              <a:effectLst/>
            </c:spPr>
          </c:dPt>
          <c:dPt>
            <c:idx val="4"/>
            <c:bubble3D val="0"/>
            <c:spPr>
              <a:solidFill>
                <a:schemeClr val="accent3">
                  <a:shade val="53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chart'!$A$5:$A$10</c:f>
              <c:strCache>
                <c:ptCount val="5"/>
                <c:pt idx="0">
                  <c:v>Central</c:v>
                </c:pt>
                <c:pt idx="1">
                  <c:v>East</c:v>
                </c:pt>
                <c:pt idx="2">
                  <c:v>North</c:v>
                </c:pt>
                <c:pt idx="3">
                  <c:v>South</c:v>
                </c:pt>
                <c:pt idx="4">
                  <c:v>West</c:v>
                </c:pt>
              </c:strCache>
            </c:strRef>
          </c:cat>
          <c:val>
            <c:numRef>
              <c:f>'Pie chart'!$C$5:$C$10</c:f>
              <c:numCache>
                <c:formatCode>General</c:formatCode>
                <c:ptCount val="5"/>
                <c:pt idx="0">
                  <c:v>12200.26</c:v>
                </c:pt>
                <c:pt idx="1">
                  <c:v>2401.4499999999998</c:v>
                </c:pt>
                <c:pt idx="2">
                  <c:v>8422.82</c:v>
                </c:pt>
                <c:pt idx="3">
                  <c:v>8393.630000000001</c:v>
                </c:pt>
                <c:pt idx="4">
                  <c:v>10509.429999999998</c:v>
                </c:pt>
              </c:numCache>
            </c:numRef>
          </c:val>
          <c:extLst>
            <c:ext xmlns:c16="http://schemas.microsoft.com/office/drawing/2014/chart" uri="{C3380CC4-5D6E-409C-BE32-E72D297353CC}">
              <c16:uniqueId val="{00000010-933C-4A31-BCB9-64CE509121A3}"/>
            </c:ext>
          </c:extLst>
        </c:ser>
        <c:ser>
          <c:idx val="2"/>
          <c:order val="2"/>
          <c:tx>
            <c:strRef>
              <c:f>'Pie chart'!$D$3:$D$4</c:f>
              <c:strCache>
                <c:ptCount val="1"/>
                <c:pt idx="0">
                  <c:v>Electronics</c:v>
                </c:pt>
              </c:strCache>
            </c:strRef>
          </c:tx>
          <c:spPr>
            <a:solidFill>
              <a:srgbClr val="FFC000"/>
            </a:solidFill>
          </c:spPr>
          <c:dPt>
            <c:idx val="0"/>
            <c:bubble3D val="0"/>
            <c:spPr>
              <a:solidFill>
                <a:schemeClr val="accent3">
                  <a:tint val="54000"/>
                </a:schemeClr>
              </a:solidFill>
              <a:ln w="19050">
                <a:solidFill>
                  <a:schemeClr val="lt1"/>
                </a:solidFill>
              </a:ln>
              <a:effectLst/>
            </c:spPr>
          </c:dPt>
          <c:dPt>
            <c:idx val="1"/>
            <c:bubble3D val="0"/>
            <c:spPr>
              <a:solidFill>
                <a:schemeClr val="accent3">
                  <a:tint val="77000"/>
                </a:schemeClr>
              </a:solidFill>
              <a:ln w="19050">
                <a:solidFill>
                  <a:schemeClr val="lt1"/>
                </a:solidFill>
              </a:ln>
              <a:effectLst/>
            </c:spPr>
          </c:dPt>
          <c:dPt>
            <c:idx val="2"/>
            <c:bubble3D val="0"/>
            <c:spPr>
              <a:solidFill>
                <a:srgbClr val="FFC000"/>
              </a:solidFill>
              <a:ln w="19050">
                <a:solidFill>
                  <a:schemeClr val="lt1"/>
                </a:solidFill>
              </a:ln>
              <a:effectLst/>
            </c:spPr>
          </c:dPt>
          <c:dPt>
            <c:idx val="3"/>
            <c:bubble3D val="0"/>
            <c:spPr>
              <a:solidFill>
                <a:schemeClr val="accent3">
                  <a:shade val="76000"/>
                </a:schemeClr>
              </a:solidFill>
              <a:ln w="19050">
                <a:solidFill>
                  <a:schemeClr val="lt1"/>
                </a:solidFill>
              </a:ln>
              <a:effectLst/>
            </c:spPr>
          </c:dPt>
          <c:dPt>
            <c:idx val="4"/>
            <c:bubble3D val="0"/>
            <c:spPr>
              <a:solidFill>
                <a:schemeClr val="accent3">
                  <a:shade val="53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chart'!$A$5:$A$10</c:f>
              <c:strCache>
                <c:ptCount val="5"/>
                <c:pt idx="0">
                  <c:v>Central</c:v>
                </c:pt>
                <c:pt idx="1">
                  <c:v>East</c:v>
                </c:pt>
                <c:pt idx="2">
                  <c:v>North</c:v>
                </c:pt>
                <c:pt idx="3">
                  <c:v>South</c:v>
                </c:pt>
                <c:pt idx="4">
                  <c:v>West</c:v>
                </c:pt>
              </c:strCache>
            </c:strRef>
          </c:cat>
          <c:val>
            <c:numRef>
              <c:f>'Pie chart'!$D$5:$D$10</c:f>
              <c:numCache>
                <c:formatCode>General</c:formatCode>
                <c:ptCount val="5"/>
                <c:pt idx="0">
                  <c:v>6621.24</c:v>
                </c:pt>
                <c:pt idx="1">
                  <c:v>2869.54</c:v>
                </c:pt>
                <c:pt idx="2">
                  <c:v>8191.7099999999991</c:v>
                </c:pt>
                <c:pt idx="3">
                  <c:v>11989.070000000003</c:v>
                </c:pt>
                <c:pt idx="4">
                  <c:v>11372.44</c:v>
                </c:pt>
              </c:numCache>
            </c:numRef>
          </c:val>
          <c:extLst>
            <c:ext xmlns:c16="http://schemas.microsoft.com/office/drawing/2014/chart" uri="{C3380CC4-5D6E-409C-BE32-E72D297353CC}">
              <c16:uniqueId val="{00000011-933C-4A31-BCB9-64CE509121A3}"/>
            </c:ext>
          </c:extLst>
        </c:ser>
        <c:ser>
          <c:idx val="3"/>
          <c:order val="3"/>
          <c:tx>
            <c:strRef>
              <c:f>'Pie chart'!$E$3:$E$4</c:f>
              <c:strCache>
                <c:ptCount val="1"/>
                <c:pt idx="0">
                  <c:v>Furniture</c:v>
                </c:pt>
              </c:strCache>
            </c:strRef>
          </c:tx>
          <c:dPt>
            <c:idx val="0"/>
            <c:bubble3D val="0"/>
            <c:spPr>
              <a:solidFill>
                <a:schemeClr val="accent3">
                  <a:tint val="54000"/>
                </a:schemeClr>
              </a:solidFill>
              <a:ln w="19050">
                <a:solidFill>
                  <a:schemeClr val="lt1"/>
                </a:solidFill>
              </a:ln>
              <a:effectLst/>
            </c:spPr>
          </c:dPt>
          <c:dPt>
            <c:idx val="1"/>
            <c:bubble3D val="0"/>
            <c:spPr>
              <a:solidFill>
                <a:schemeClr val="accent3">
                  <a:tint val="77000"/>
                </a:schemeClr>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3">
                  <a:shade val="76000"/>
                </a:schemeClr>
              </a:solidFill>
              <a:ln w="19050">
                <a:solidFill>
                  <a:schemeClr val="lt1"/>
                </a:solidFill>
              </a:ln>
              <a:effectLst/>
            </c:spPr>
          </c:dPt>
          <c:dPt>
            <c:idx val="4"/>
            <c:bubble3D val="0"/>
            <c:spPr>
              <a:solidFill>
                <a:schemeClr val="accent3">
                  <a:shade val="53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chart'!$A$5:$A$10</c:f>
              <c:strCache>
                <c:ptCount val="5"/>
                <c:pt idx="0">
                  <c:v>Central</c:v>
                </c:pt>
                <c:pt idx="1">
                  <c:v>East</c:v>
                </c:pt>
                <c:pt idx="2">
                  <c:v>North</c:v>
                </c:pt>
                <c:pt idx="3">
                  <c:v>South</c:v>
                </c:pt>
                <c:pt idx="4">
                  <c:v>West</c:v>
                </c:pt>
              </c:strCache>
            </c:strRef>
          </c:cat>
          <c:val>
            <c:numRef>
              <c:f>'Pie chart'!$E$5:$E$10</c:f>
              <c:numCache>
                <c:formatCode>General</c:formatCode>
                <c:ptCount val="5"/>
                <c:pt idx="0">
                  <c:v>4876.96</c:v>
                </c:pt>
                <c:pt idx="1">
                  <c:v>7592.3399999999992</c:v>
                </c:pt>
                <c:pt idx="2">
                  <c:v>6978.08</c:v>
                </c:pt>
                <c:pt idx="3">
                  <c:v>7982.73</c:v>
                </c:pt>
                <c:pt idx="4">
                  <c:v>9182.7800000000007</c:v>
                </c:pt>
              </c:numCache>
            </c:numRef>
          </c:val>
          <c:extLst>
            <c:ext xmlns:c16="http://schemas.microsoft.com/office/drawing/2014/chart" uri="{C3380CC4-5D6E-409C-BE32-E72D297353CC}">
              <c16:uniqueId val="{00000012-933C-4A31-BCB9-64CE509121A3}"/>
            </c:ext>
          </c:extLst>
        </c:ser>
        <c:ser>
          <c:idx val="4"/>
          <c:order val="4"/>
          <c:tx>
            <c:strRef>
              <c:f>'Pie chart'!$F$3:$F$4</c:f>
              <c:strCache>
                <c:ptCount val="1"/>
                <c:pt idx="0">
                  <c:v>Office Supplies</c:v>
                </c:pt>
              </c:strCache>
            </c:strRef>
          </c:tx>
          <c:dPt>
            <c:idx val="0"/>
            <c:bubble3D val="0"/>
            <c:spPr>
              <a:solidFill>
                <a:schemeClr val="accent3">
                  <a:tint val="54000"/>
                </a:schemeClr>
              </a:solidFill>
              <a:ln w="19050">
                <a:solidFill>
                  <a:schemeClr val="lt1"/>
                </a:solidFill>
              </a:ln>
              <a:effectLst/>
            </c:spPr>
          </c:dPt>
          <c:dPt>
            <c:idx val="1"/>
            <c:bubble3D val="0"/>
            <c:spPr>
              <a:solidFill>
                <a:schemeClr val="accent3">
                  <a:tint val="77000"/>
                </a:schemeClr>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3">
                  <a:shade val="76000"/>
                </a:schemeClr>
              </a:solidFill>
              <a:ln w="19050">
                <a:solidFill>
                  <a:schemeClr val="lt1"/>
                </a:solidFill>
              </a:ln>
              <a:effectLst/>
            </c:spPr>
          </c:dPt>
          <c:dPt>
            <c:idx val="4"/>
            <c:bubble3D val="0"/>
            <c:spPr>
              <a:solidFill>
                <a:schemeClr val="accent3">
                  <a:shade val="53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chart'!$A$5:$A$10</c:f>
              <c:strCache>
                <c:ptCount val="5"/>
                <c:pt idx="0">
                  <c:v>Central</c:v>
                </c:pt>
                <c:pt idx="1">
                  <c:v>East</c:v>
                </c:pt>
                <c:pt idx="2">
                  <c:v>North</c:v>
                </c:pt>
                <c:pt idx="3">
                  <c:v>South</c:v>
                </c:pt>
                <c:pt idx="4">
                  <c:v>West</c:v>
                </c:pt>
              </c:strCache>
            </c:strRef>
          </c:cat>
          <c:val>
            <c:numRef>
              <c:f>'Pie chart'!$F$5:$F$10</c:f>
              <c:numCache>
                <c:formatCode>General</c:formatCode>
                <c:ptCount val="5"/>
                <c:pt idx="0">
                  <c:v>8472.7199999999993</c:v>
                </c:pt>
                <c:pt idx="1">
                  <c:v>8189.2200000000012</c:v>
                </c:pt>
                <c:pt idx="2">
                  <c:v>3345.8</c:v>
                </c:pt>
                <c:pt idx="3">
                  <c:v>2295.3199999999997</c:v>
                </c:pt>
                <c:pt idx="4">
                  <c:v>6327.76</c:v>
                </c:pt>
              </c:numCache>
            </c:numRef>
          </c:val>
          <c:extLst>
            <c:ext xmlns:c16="http://schemas.microsoft.com/office/drawing/2014/chart" uri="{C3380CC4-5D6E-409C-BE32-E72D297353CC}">
              <c16:uniqueId val="{00000013-933C-4A31-BCB9-64CE509121A3}"/>
            </c:ext>
          </c:extLst>
        </c:ser>
        <c:dLbls>
          <c:dLblPos val="ctr"/>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Analyzer.xlsx]Line chart!PivotTable9</c:name>
    <c:fmtId val="2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4925" cap="sq">
            <a:solidFill>
              <a:srgbClr val="92D050"/>
            </a:solidFill>
            <a:round/>
          </a:ln>
          <a:effectLst>
            <a:outerShdw blurRad="25400" dist="19050" dir="5400000" algn="ctr" rotWithShape="0">
              <a:srgbClr val="92D050"/>
            </a:outerShdw>
          </a:effectLst>
        </c:spPr>
        <c:marker>
          <c:symbol val="circle"/>
          <c:size val="6"/>
          <c:spPr>
            <a:solidFill>
              <a:srgbClr val="FF0000"/>
            </a:solidFill>
            <a:ln w="9525">
              <a:solidFill>
                <a:schemeClr val="accent1"/>
              </a:solidFill>
              <a:round/>
            </a:ln>
            <a:effectLst>
              <a:outerShdw blurRad="25400" dist="19050" dir="5400000" algn="ctr" rotWithShape="0">
                <a:srgbClr val="92D050"/>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sq">
            <a:solidFill>
              <a:srgbClr val="92D050"/>
            </a:solidFill>
            <a:round/>
          </a:ln>
          <a:effectLst>
            <a:outerShdw blurRad="12700" dist="19050" dir="5400000" algn="ctr" rotWithShape="0">
              <a:srgbClr val="92D050"/>
            </a:outerShdw>
          </a:effectLst>
        </c:spPr>
        <c:marker>
          <c:symbol val="circle"/>
          <c:size val="6"/>
          <c:spPr>
            <a:solidFill>
              <a:schemeClr val="bg2"/>
            </a:solidFill>
            <a:ln w="9525">
              <a:solidFill>
                <a:schemeClr val="accent1"/>
              </a:solidFill>
              <a:round/>
            </a:ln>
            <a:effectLst>
              <a:outerShdw blurRad="12700" dist="19050" dir="5400000" algn="ctr" rotWithShape="0">
                <a:srgbClr val="92D050"/>
              </a:outerShdw>
            </a:effectLst>
          </c:spPr>
        </c:marker>
      </c:pivotFmt>
    </c:pivotFmts>
    <c:plotArea>
      <c:layout/>
      <c:lineChart>
        <c:grouping val="standard"/>
        <c:varyColors val="0"/>
        <c:ser>
          <c:idx val="0"/>
          <c:order val="0"/>
          <c:tx>
            <c:strRef>
              <c:f>'Line chart'!$B$3</c:f>
              <c:strCache>
                <c:ptCount val="1"/>
                <c:pt idx="0">
                  <c:v>Total</c:v>
                </c:pt>
              </c:strCache>
            </c:strRef>
          </c:tx>
          <c:spPr>
            <a:ln w="34925" cap="sq">
              <a:solidFill>
                <a:srgbClr val="92D050"/>
              </a:solidFill>
              <a:round/>
            </a:ln>
            <a:effectLst>
              <a:outerShdw blurRad="25400" dist="19050" dir="5400000" algn="ctr" rotWithShape="0">
                <a:srgbClr val="92D050"/>
              </a:outerShdw>
            </a:effectLst>
          </c:spPr>
          <c:marker>
            <c:symbol val="circle"/>
            <c:size val="6"/>
            <c:spPr>
              <a:solidFill>
                <a:srgbClr val="FF0000"/>
              </a:solidFill>
              <a:ln w="9525">
                <a:solidFill>
                  <a:schemeClr val="accent1"/>
                </a:solidFill>
                <a:round/>
              </a:ln>
              <a:effectLst>
                <a:outerShdw blurRad="25400" dist="19050" dir="5400000" algn="ctr" rotWithShape="0">
                  <a:srgbClr val="92D050"/>
                </a:outerShdw>
              </a:effectLst>
            </c:spPr>
          </c:marker>
          <c:dPt>
            <c:idx val="6"/>
            <c:marker>
              <c:symbol val="circle"/>
              <c:size val="6"/>
              <c:spPr>
                <a:solidFill>
                  <a:srgbClr val="FF0000"/>
                </a:solidFill>
                <a:ln w="9525">
                  <a:solidFill>
                    <a:schemeClr val="accent1"/>
                  </a:solidFill>
                  <a:round/>
                </a:ln>
                <a:effectLst>
                  <a:outerShdw blurRad="25400" dist="19050" dir="5400000" algn="ctr" rotWithShape="0">
                    <a:srgbClr val="92D050"/>
                  </a:outerShdw>
                </a:effectLst>
              </c:spPr>
            </c:marker>
            <c:bubble3D val="0"/>
            <c:extLst>
              <c:ext xmlns:c16="http://schemas.microsoft.com/office/drawing/2014/chart" uri="{C3380CC4-5D6E-409C-BE32-E72D297353CC}">
                <c16:uniqueId val="{00000001-5965-4AEB-BAAF-2AFED8573F28}"/>
              </c:ext>
            </c:extLst>
          </c:dPt>
          <c:dPt>
            <c:idx val="9"/>
            <c:marker>
              <c:symbol val="circle"/>
              <c:size val="6"/>
              <c:spPr>
                <a:solidFill>
                  <a:schemeClr val="bg2"/>
                </a:solidFill>
                <a:ln w="9525">
                  <a:solidFill>
                    <a:schemeClr val="accent1"/>
                  </a:solidFill>
                  <a:round/>
                </a:ln>
                <a:effectLst>
                  <a:outerShdw blurRad="12700" dist="19050" dir="5400000" algn="ctr" rotWithShape="0">
                    <a:srgbClr val="92D050"/>
                  </a:outerShdw>
                </a:effectLst>
              </c:spPr>
            </c:marker>
            <c:bubble3D val="0"/>
            <c:spPr>
              <a:ln w="34925" cap="sq">
                <a:solidFill>
                  <a:srgbClr val="92D050"/>
                </a:solidFill>
                <a:round/>
              </a:ln>
              <a:effectLst>
                <a:outerShdw blurRad="12700" dist="19050" dir="5400000" algn="ctr" rotWithShape="0">
                  <a:srgbClr val="92D050"/>
                </a:outerShdw>
              </a:effectLst>
            </c:spPr>
            <c:extLst>
              <c:ext xmlns:c16="http://schemas.microsoft.com/office/drawing/2014/chart" uri="{C3380CC4-5D6E-409C-BE32-E72D297353CC}">
                <c16:uniqueId val="{00000002-E35D-49DB-899B-103BD7C62933}"/>
              </c:ext>
            </c:extLst>
          </c:dPt>
          <c:cat>
            <c:multiLvlStrRef>
              <c:f>'Line chart'!$A$4:$A$19</c:f>
              <c:multiLvlStrCache>
                <c:ptCount val="13"/>
                <c:lvl>
                  <c:pt idx="0">
                    <c:v>Apr</c:v>
                  </c:pt>
                  <c:pt idx="1">
                    <c:v>May</c:v>
                  </c:pt>
                  <c:pt idx="2">
                    <c:v>Jun</c:v>
                  </c:pt>
                  <c:pt idx="3">
                    <c:v>Jul</c:v>
                  </c:pt>
                  <c:pt idx="4">
                    <c:v>Aug</c:v>
                  </c:pt>
                  <c:pt idx="5">
                    <c:v>Sep</c:v>
                  </c:pt>
                  <c:pt idx="6">
                    <c:v>Oct</c:v>
                  </c:pt>
                  <c:pt idx="7">
                    <c:v>Nov</c:v>
                  </c:pt>
                  <c:pt idx="8">
                    <c:v>Dec</c:v>
                  </c:pt>
                  <c:pt idx="9">
                    <c:v>Jan</c:v>
                  </c:pt>
                  <c:pt idx="10">
                    <c:v>Feb</c:v>
                  </c:pt>
                  <c:pt idx="11">
                    <c:v>Mar</c:v>
                  </c:pt>
                  <c:pt idx="12">
                    <c:v>Apr</c:v>
                  </c:pt>
                </c:lvl>
                <c:lvl>
                  <c:pt idx="0">
                    <c:v>2024</c:v>
                  </c:pt>
                  <c:pt idx="9">
                    <c:v>2025</c:v>
                  </c:pt>
                </c:lvl>
              </c:multiLvlStrCache>
            </c:multiLvlStrRef>
          </c:cat>
          <c:val>
            <c:numRef>
              <c:f>'Line chart'!$B$4:$B$19</c:f>
              <c:numCache>
                <c:formatCode>General</c:formatCode>
                <c:ptCount val="13"/>
                <c:pt idx="0">
                  <c:v>19029.96</c:v>
                </c:pt>
                <c:pt idx="1">
                  <c:v>18507.339999999997</c:v>
                </c:pt>
                <c:pt idx="2">
                  <c:v>20187.509999999998</c:v>
                </c:pt>
                <c:pt idx="3">
                  <c:v>11609.039999999999</c:v>
                </c:pt>
                <c:pt idx="4">
                  <c:v>10091.699999999999</c:v>
                </c:pt>
                <c:pt idx="5">
                  <c:v>20533.499999999996</c:v>
                </c:pt>
                <c:pt idx="6">
                  <c:v>14215.240000000002</c:v>
                </c:pt>
                <c:pt idx="7">
                  <c:v>20135.030000000002</c:v>
                </c:pt>
                <c:pt idx="8">
                  <c:v>11120.04</c:v>
                </c:pt>
                <c:pt idx="9">
                  <c:v>14914.650000000001</c:v>
                </c:pt>
                <c:pt idx="10">
                  <c:v>14006.359999999999</c:v>
                </c:pt>
                <c:pt idx="11">
                  <c:v>17655.219999999998</c:v>
                </c:pt>
                <c:pt idx="12">
                  <c:v>3212.17</c:v>
                </c:pt>
              </c:numCache>
            </c:numRef>
          </c:val>
          <c:smooth val="0"/>
          <c:extLst>
            <c:ext xmlns:c16="http://schemas.microsoft.com/office/drawing/2014/chart" uri="{C3380CC4-5D6E-409C-BE32-E72D297353CC}">
              <c16:uniqueId val="{00000000-E35D-49DB-899B-103BD7C62933}"/>
            </c:ext>
          </c:extLst>
        </c:ser>
        <c:dLbls>
          <c:showLegendKey val="0"/>
          <c:showVal val="0"/>
          <c:showCatName val="0"/>
          <c:showSerName val="0"/>
          <c:showPercent val="0"/>
          <c:showBubbleSize val="0"/>
        </c:dLbls>
        <c:marker val="1"/>
        <c:smooth val="0"/>
        <c:axId val="766597135"/>
        <c:axId val="766595215"/>
      </c:lineChart>
      <c:catAx>
        <c:axId val="76659713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766595215"/>
        <c:crosses val="autoZero"/>
        <c:auto val="1"/>
        <c:lblAlgn val="ctr"/>
        <c:lblOffset val="100"/>
        <c:noMultiLvlLbl val="0"/>
      </c:catAx>
      <c:valAx>
        <c:axId val="76659521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766597135"/>
        <c:crosses val="autoZero"/>
        <c:crossBetween val="between"/>
      </c:valAx>
      <c:spPr>
        <a:solidFill>
          <a:schemeClr val="bg2">
            <a:lumMod val="8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62000">
                <a:srgbClr val="92D050"/>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a:solidFill>
              <a:srgbClr val="00B050">
                <a:alpha val="9700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765192708439341E-2"/>
          <c:y val="0"/>
          <c:w val="0.90597437651770518"/>
          <c:h val="0.87638819945299329"/>
        </c:manualLayout>
      </c:layout>
      <c:areaChart>
        <c:grouping val="standard"/>
        <c:varyColors val="0"/>
        <c:dLbls>
          <c:showLegendKey val="0"/>
          <c:showVal val="0"/>
          <c:showCatName val="0"/>
          <c:showSerName val="0"/>
          <c:showPercent val="0"/>
          <c:showBubbleSize val="0"/>
        </c:dLbls>
        <c:axId val="1060821983"/>
        <c:axId val="1060814303"/>
      </c:areaChart>
      <c:catAx>
        <c:axId val="1060821983"/>
        <c:scaling>
          <c:orientation val="minMax"/>
        </c:scaling>
        <c:delete val="1"/>
        <c:axPos val="b"/>
        <c:numFmt formatCode="General" sourceLinked="1"/>
        <c:majorTickMark val="out"/>
        <c:minorTickMark val="none"/>
        <c:tickLblPos val="nextTo"/>
        <c:crossAx val="1060814303"/>
        <c:crosses val="autoZero"/>
        <c:auto val="1"/>
        <c:lblAlgn val="ctr"/>
        <c:lblOffset val="100"/>
        <c:noMultiLvlLbl val="0"/>
      </c:catAx>
      <c:valAx>
        <c:axId val="1060814303"/>
        <c:scaling>
          <c:orientation val="minMax"/>
        </c:scaling>
        <c:delete val="1"/>
        <c:axPos val="l"/>
        <c:numFmt formatCode="General" sourceLinked="1"/>
        <c:majorTickMark val="none"/>
        <c:minorTickMark val="none"/>
        <c:tickLblPos val="nextTo"/>
        <c:crossAx val="106082198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ivotFmts>
      <c:pivotFmt>
        <c:idx val="0"/>
        <c:spPr>
          <a:solidFill>
            <a:schemeClr val="accent3"/>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3"/>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3"/>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3"/>
          </a:solidFill>
          <a:ln w="19050">
            <a:solidFill>
              <a:schemeClr val="lt1"/>
            </a:solidFill>
          </a:ln>
          <a:effectLst/>
        </c:spPr>
      </c:pivotFmt>
      <c:pivotFmt>
        <c:idx val="6"/>
        <c:spPr>
          <a:solidFill>
            <a:schemeClr val="accent3"/>
          </a:solidFill>
          <a:ln w="19050">
            <a:solidFill>
              <a:schemeClr val="lt1"/>
            </a:solidFill>
          </a:ln>
          <a:effectLst/>
        </c:spPr>
      </c:pivotFmt>
      <c:pivotFmt>
        <c:idx val="7"/>
        <c:spPr>
          <a:solidFill>
            <a:schemeClr val="accent3"/>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3">
              <a:shade val="53000"/>
            </a:schemeClr>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fld id="{5E5B4042-5E31-4A73-91C9-6EFE22DF80EF}" type="CATEGORYNAME">
                  <a:rPr lang="en-US" sz="700"/>
                  <a:pPr>
                    <a:defRPr sz="700" b="1" i="0" u="none" strike="noStrike" kern="1200" baseline="0">
                      <a:solidFill>
                        <a:schemeClr val="bg1"/>
                      </a:solidFill>
                      <a:latin typeface="+mn-lt"/>
                      <a:ea typeface="+mn-ea"/>
                      <a:cs typeface="+mn-cs"/>
                    </a:defRPr>
                  </a:pPr>
                  <a:t>[CATEGORY NAME]</a:t>
                </a:fld>
                <a:r>
                  <a:rPr lang="en-US" baseline="0"/>
                  <a:t>. </a:t>
                </a:r>
                <a:fld id="{C0BEBDA0-AF25-4BD5-B909-22272AB09194}" type="PERCENTAGE">
                  <a:rPr lang="en-US" baseline="0"/>
                  <a:pPr>
                    <a:defRPr sz="700" b="1" i="0" u="none" strike="noStrike" kern="1200" baseline="0">
                      <a:solidFill>
                        <a:schemeClr val="bg1"/>
                      </a:solidFill>
                      <a:latin typeface="+mn-lt"/>
                      <a:ea typeface="+mn-ea"/>
                      <a:cs typeface="+mn-cs"/>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9"/>
        <c:spPr>
          <a:solidFill>
            <a:schemeClr val="accent3">
              <a:shade val="76000"/>
            </a:schemeClr>
          </a:solidFill>
          <a:ln w="19050">
            <a:solidFill>
              <a:schemeClr val="lt1"/>
            </a:solidFill>
          </a:ln>
          <a:effectLst/>
        </c:spPr>
      </c:pivotFmt>
      <c:pivotFmt>
        <c:idx val="10"/>
        <c:spPr>
          <a:solidFill>
            <a:schemeClr val="accent3"/>
          </a:solidFill>
          <a:ln w="19050">
            <a:solidFill>
              <a:schemeClr val="lt1"/>
            </a:solidFill>
          </a:ln>
          <a:effectLst/>
        </c:spPr>
      </c:pivotFmt>
      <c:pivotFmt>
        <c:idx val="11"/>
        <c:spPr>
          <a:solidFill>
            <a:schemeClr val="accent3">
              <a:tint val="77000"/>
            </a:schemeClr>
          </a:solidFill>
          <a:ln w="19050">
            <a:solidFill>
              <a:schemeClr val="lt1"/>
            </a:solidFill>
          </a:ln>
          <a:effectLst/>
        </c:spPr>
      </c:pivotFmt>
      <c:pivotFmt>
        <c:idx val="12"/>
        <c:spPr>
          <a:solidFill>
            <a:schemeClr val="accent3">
              <a:tint val="54000"/>
            </a:schemeClr>
          </a:solidFill>
          <a:ln w="19050">
            <a:solidFill>
              <a:schemeClr val="lt1"/>
            </a:solidFill>
          </a:ln>
          <a:effectLst/>
        </c:spPr>
      </c:pivotFmt>
    </c:pivotFmts>
    <c:plotArea>
      <c:layout/>
      <c:doughnutChart>
        <c:varyColors val="1"/>
        <c:dLbls>
          <c:showLegendKey val="0"/>
          <c:showVal val="0"/>
          <c:showCatName val="0"/>
          <c:showSerName val="0"/>
          <c:showPercent val="0"/>
          <c:showBubbleSize val="0"/>
          <c:showLeaderLines val="0"/>
        </c:dLbls>
        <c:firstSliceAng val="0"/>
        <c:holeSize val="75"/>
      </c:doughnutChart>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85000"/>
              <a:lumOff val="15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0.91389623541028109"/>
          <c:h val="1"/>
        </c:manualLayout>
      </c:layout>
      <c:areaChart>
        <c:grouping val="standard"/>
        <c:varyColors val="0"/>
        <c:ser>
          <c:idx val="0"/>
          <c:order val="0"/>
          <c:tx>
            <c:v>Total</c:v>
          </c:tx>
          <c:spPr>
            <a:solidFill>
              <a:schemeClr val="tx1">
                <a:lumMod val="85000"/>
                <a:lumOff val="15000"/>
              </a:schemeClr>
            </a:solidFill>
            <a:ln w="25400">
              <a:noFill/>
            </a:ln>
            <a:effectLst/>
          </c:spPr>
          <c:cat>
            <c:strLit>
              <c:ptCount val="13"/>
              <c:pt idx="0">
                <c:v>2024 Apr</c:v>
              </c:pt>
              <c:pt idx="1">
                <c:v>2024 May</c:v>
              </c:pt>
              <c:pt idx="2">
                <c:v>2024 Jun</c:v>
              </c:pt>
              <c:pt idx="3">
                <c:v>2024 Jul</c:v>
              </c:pt>
              <c:pt idx="4">
                <c:v>2024 Aug</c:v>
              </c:pt>
              <c:pt idx="5">
                <c:v>2024 Sep</c:v>
              </c:pt>
              <c:pt idx="6">
                <c:v>2024 Oct</c:v>
              </c:pt>
              <c:pt idx="7">
                <c:v>2024 Nov</c:v>
              </c:pt>
              <c:pt idx="8">
                <c:v>2024 Dec</c:v>
              </c:pt>
              <c:pt idx="9">
                <c:v>2025 Jan</c:v>
              </c:pt>
              <c:pt idx="10">
                <c:v>2025 Feb</c:v>
              </c:pt>
              <c:pt idx="11">
                <c:v>2025 Mar</c:v>
              </c:pt>
              <c:pt idx="12">
                <c:v>2025 Apr</c:v>
              </c:pt>
            </c:strLit>
          </c:cat>
          <c:val>
            <c:numLit>
              <c:formatCode>General</c:formatCode>
              <c:ptCount val="13"/>
              <c:pt idx="0">
                <c:v>6244.01</c:v>
              </c:pt>
              <c:pt idx="1">
                <c:v>6121.3499999999995</c:v>
              </c:pt>
              <c:pt idx="2">
                <c:v>6918</c:v>
              </c:pt>
              <c:pt idx="3">
                <c:v>3743.85</c:v>
              </c:pt>
              <c:pt idx="4">
                <c:v>3302.84</c:v>
              </c:pt>
              <c:pt idx="5">
                <c:v>7457.5199999999995</c:v>
              </c:pt>
              <c:pt idx="6">
                <c:v>4861.7</c:v>
              </c:pt>
              <c:pt idx="7">
                <c:v>6814.8799999999992</c:v>
              </c:pt>
              <c:pt idx="8">
                <c:v>3549.99</c:v>
              </c:pt>
              <c:pt idx="9">
                <c:v>5763.4</c:v>
              </c:pt>
              <c:pt idx="10">
                <c:v>5039.2299999999996</c:v>
              </c:pt>
              <c:pt idx="11">
                <c:v>7071.39</c:v>
              </c:pt>
              <c:pt idx="12">
                <c:v>1398.85</c:v>
              </c:pt>
            </c:numLit>
          </c:val>
          <c:extLst>
            <c:ext xmlns:c16="http://schemas.microsoft.com/office/drawing/2014/chart" uri="{C3380CC4-5D6E-409C-BE32-E72D297353CC}">
              <c16:uniqueId val="{00000002-BF4A-47B5-8574-FD71FAD548A5}"/>
            </c:ext>
          </c:extLst>
        </c:ser>
        <c:dLbls>
          <c:showLegendKey val="0"/>
          <c:showVal val="0"/>
          <c:showCatName val="0"/>
          <c:showSerName val="0"/>
          <c:showPercent val="0"/>
          <c:showBubbleSize val="0"/>
        </c:dLbls>
        <c:axId val="538912367"/>
        <c:axId val="538914767"/>
      </c:areaChart>
      <c:catAx>
        <c:axId val="538912367"/>
        <c:scaling>
          <c:orientation val="minMax"/>
        </c:scaling>
        <c:delete val="1"/>
        <c:axPos val="b"/>
        <c:numFmt formatCode="General" sourceLinked="1"/>
        <c:majorTickMark val="out"/>
        <c:minorTickMark val="none"/>
        <c:tickLblPos val="nextTo"/>
        <c:crossAx val="538914767"/>
        <c:crosses val="autoZero"/>
        <c:auto val="1"/>
        <c:lblAlgn val="ctr"/>
        <c:lblOffset val="100"/>
        <c:noMultiLvlLbl val="0"/>
      </c:catAx>
      <c:valAx>
        <c:axId val="538914767"/>
        <c:scaling>
          <c:orientation val="minMax"/>
        </c:scaling>
        <c:delete val="1"/>
        <c:axPos val="l"/>
        <c:numFmt formatCode="General" sourceLinked="1"/>
        <c:majorTickMark val="none"/>
        <c:minorTickMark val="none"/>
        <c:tickLblPos val="nextTo"/>
        <c:crossAx val="53891236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3">
  <a:schemeClr val="accent3"/>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6">
  <a:schemeClr val="accent3"/>
</cs:colorStyle>
</file>

<file path=xl/charts/colors10.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9.png"/><Relationship Id="rId3" Type="http://schemas.openxmlformats.org/officeDocument/2006/relationships/chart" Target="../charts/chart7.xml"/><Relationship Id="rId7" Type="http://schemas.openxmlformats.org/officeDocument/2006/relationships/image" Target="../media/image3.png"/><Relationship Id="rId12" Type="http://schemas.openxmlformats.org/officeDocument/2006/relationships/image" Target="../media/image8.svg"/><Relationship Id="rId17" Type="http://schemas.openxmlformats.org/officeDocument/2006/relationships/chart" Target="../charts/chart11.xml"/><Relationship Id="rId2" Type="http://schemas.openxmlformats.org/officeDocument/2006/relationships/chart" Target="../charts/chart6.xml"/><Relationship Id="rId16" Type="http://schemas.openxmlformats.org/officeDocument/2006/relationships/chart" Target="../charts/chart10.xml"/><Relationship Id="rId1" Type="http://schemas.openxmlformats.org/officeDocument/2006/relationships/chart" Target="../charts/chart5.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5" Type="http://schemas.openxmlformats.org/officeDocument/2006/relationships/chart" Target="../charts/chart9.xml"/><Relationship Id="rId10" Type="http://schemas.openxmlformats.org/officeDocument/2006/relationships/image" Target="../media/image6.svg"/><Relationship Id="rId4" Type="http://schemas.openxmlformats.org/officeDocument/2006/relationships/chart" Target="../charts/chart8.xml"/><Relationship Id="rId9" Type="http://schemas.openxmlformats.org/officeDocument/2006/relationships/image" Target="../media/image5.png"/><Relationship Id="rId1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xdr:from>
      <xdr:col>3</xdr:col>
      <xdr:colOff>598842</xdr:colOff>
      <xdr:row>1</xdr:row>
      <xdr:rowOff>149486</xdr:rowOff>
    </xdr:from>
    <xdr:to>
      <xdr:col>16</xdr:col>
      <xdr:colOff>320040</xdr:colOff>
      <xdr:row>23</xdr:row>
      <xdr:rowOff>167640</xdr:rowOff>
    </xdr:to>
    <xdr:graphicFrame macro="">
      <xdr:nvGraphicFramePr>
        <xdr:cNvPr id="2" name="Chart 1">
          <a:extLst>
            <a:ext uri="{FF2B5EF4-FFF2-40B4-BE49-F238E27FC236}">
              <a16:creationId xmlns:a16="http://schemas.microsoft.com/office/drawing/2014/main" id="{5D99AF2D-F59A-5141-2BB9-EB08FC0AA3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167640</xdr:colOff>
      <xdr:row>1</xdr:row>
      <xdr:rowOff>95250</xdr:rowOff>
    </xdr:from>
    <xdr:to>
      <xdr:col>18</xdr:col>
      <xdr:colOff>365760</xdr:colOff>
      <xdr:row>20</xdr:row>
      <xdr:rowOff>76200</xdr:rowOff>
    </xdr:to>
    <xdr:graphicFrame macro="">
      <xdr:nvGraphicFramePr>
        <xdr:cNvPr id="2" name="Chart 1">
          <a:extLst>
            <a:ext uri="{FF2B5EF4-FFF2-40B4-BE49-F238E27FC236}">
              <a16:creationId xmlns:a16="http://schemas.microsoft.com/office/drawing/2014/main" id="{ED65B0DF-9BA6-7919-B0AD-076BB98D08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525780</xdr:colOff>
      <xdr:row>17</xdr:row>
      <xdr:rowOff>114300</xdr:rowOff>
    </xdr:from>
    <xdr:to>
      <xdr:col>19</xdr:col>
      <xdr:colOff>548640</xdr:colOff>
      <xdr:row>19</xdr:row>
      <xdr:rowOff>144780</xdr:rowOff>
    </xdr:to>
    <xdr:sp macro="" textlink="">
      <xdr:nvSpPr>
        <xdr:cNvPr id="3" name="TextBox 2">
          <a:extLst>
            <a:ext uri="{FF2B5EF4-FFF2-40B4-BE49-F238E27FC236}">
              <a16:creationId xmlns:a16="http://schemas.microsoft.com/office/drawing/2014/main" id="{B9C70A20-8AF1-1322-9086-4CE7CE071CE7}"/>
            </a:ext>
          </a:extLst>
        </xdr:cNvPr>
        <xdr:cNvSpPr txBox="1"/>
      </xdr:nvSpPr>
      <xdr:spPr>
        <a:xfrm flipH="1">
          <a:off x="12984480" y="3223260"/>
          <a:ext cx="632460" cy="3962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b="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144780</xdr:colOff>
      <xdr:row>1</xdr:row>
      <xdr:rowOff>156210</xdr:rowOff>
    </xdr:from>
    <xdr:to>
      <xdr:col>13</xdr:col>
      <xdr:colOff>22860</xdr:colOff>
      <xdr:row>19</xdr:row>
      <xdr:rowOff>83820</xdr:rowOff>
    </xdr:to>
    <xdr:graphicFrame macro="">
      <xdr:nvGraphicFramePr>
        <xdr:cNvPr id="2" name="Chart 1">
          <a:extLst>
            <a:ext uri="{FF2B5EF4-FFF2-40B4-BE49-F238E27FC236}">
              <a16:creationId xmlns:a16="http://schemas.microsoft.com/office/drawing/2014/main" id="{CCB6819C-4948-F15F-8A70-36F3BF7F10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121920</xdr:colOff>
      <xdr:row>17</xdr:row>
      <xdr:rowOff>60960</xdr:rowOff>
    </xdr:from>
    <xdr:to>
      <xdr:col>13</xdr:col>
      <xdr:colOff>396240</xdr:colOff>
      <xdr:row>19</xdr:row>
      <xdr:rowOff>0</xdr:rowOff>
    </xdr:to>
    <xdr:sp macro="" textlink="">
      <xdr:nvSpPr>
        <xdr:cNvPr id="3" name="TextBox 2">
          <a:extLst>
            <a:ext uri="{FF2B5EF4-FFF2-40B4-BE49-F238E27FC236}">
              <a16:creationId xmlns:a16="http://schemas.microsoft.com/office/drawing/2014/main" id="{14CE7617-D9BA-F147-E464-D2E89D5503DC}"/>
            </a:ext>
          </a:extLst>
        </xdr:cNvPr>
        <xdr:cNvSpPr txBox="1"/>
      </xdr:nvSpPr>
      <xdr:spPr>
        <a:xfrm>
          <a:off x="9174480" y="3169920"/>
          <a:ext cx="274320"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endParaRPr lang="en-IN" sz="1100">
            <a:solidFill>
              <a:schemeClr val="dk1"/>
            </a:solidFill>
            <a:effectLst/>
            <a:latin typeface="+mn-lt"/>
            <a:ea typeface="+mn-ea"/>
            <a:cs typeface="+mn-cs"/>
          </a:endParaRPr>
        </a:p>
        <a:p>
          <a:endParaRPr lang="en-IN"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1</xdr:row>
      <xdr:rowOff>179070</xdr:rowOff>
    </xdr:from>
    <xdr:to>
      <xdr:col>13</xdr:col>
      <xdr:colOff>335280</xdr:colOff>
      <xdr:row>19</xdr:row>
      <xdr:rowOff>45720</xdr:rowOff>
    </xdr:to>
    <xdr:graphicFrame macro="">
      <xdr:nvGraphicFramePr>
        <xdr:cNvPr id="2" name="Chart 1">
          <a:extLst>
            <a:ext uri="{FF2B5EF4-FFF2-40B4-BE49-F238E27FC236}">
              <a16:creationId xmlns:a16="http://schemas.microsoft.com/office/drawing/2014/main" id="{EF7A1900-C4BF-93CF-2752-3C5396415E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53340</xdr:colOff>
      <xdr:row>19</xdr:row>
      <xdr:rowOff>167640</xdr:rowOff>
    </xdr:from>
    <xdr:to>
      <xdr:col>15</xdr:col>
      <xdr:colOff>548640</xdr:colOff>
      <xdr:row>22</xdr:row>
      <xdr:rowOff>68580</xdr:rowOff>
    </xdr:to>
    <xdr:sp macro="" textlink="">
      <xdr:nvSpPr>
        <xdr:cNvPr id="3" name="TextBox 2">
          <a:extLst>
            <a:ext uri="{FF2B5EF4-FFF2-40B4-BE49-F238E27FC236}">
              <a16:creationId xmlns:a16="http://schemas.microsoft.com/office/drawing/2014/main" id="{C67C75DB-176F-8841-735A-361FAF7EE3B3}"/>
            </a:ext>
          </a:extLst>
        </xdr:cNvPr>
        <xdr:cNvSpPr txBox="1"/>
      </xdr:nvSpPr>
      <xdr:spPr>
        <a:xfrm>
          <a:off x="2324100" y="3642360"/>
          <a:ext cx="7810500" cy="4495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68496</xdr:colOff>
      <xdr:row>0</xdr:row>
      <xdr:rowOff>68495</xdr:rowOff>
    </xdr:from>
    <xdr:to>
      <xdr:col>11</xdr:col>
      <xdr:colOff>248292</xdr:colOff>
      <xdr:row>2</xdr:row>
      <xdr:rowOff>128427</xdr:rowOff>
    </xdr:to>
    <xdr:sp macro="" textlink="">
      <xdr:nvSpPr>
        <xdr:cNvPr id="2" name="Rectangle: Rounded Corners 1">
          <a:extLst>
            <a:ext uri="{FF2B5EF4-FFF2-40B4-BE49-F238E27FC236}">
              <a16:creationId xmlns:a16="http://schemas.microsoft.com/office/drawing/2014/main" id="{20E2FF04-A67B-F6D0-FBA8-43CFEF6C81BB}"/>
            </a:ext>
          </a:extLst>
        </xdr:cNvPr>
        <xdr:cNvSpPr/>
      </xdr:nvSpPr>
      <xdr:spPr>
        <a:xfrm>
          <a:off x="68496" y="68495"/>
          <a:ext cx="6866560" cy="419528"/>
        </a:xfrm>
        <a:prstGeom prst="round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a:p>
          <a:pPr marL="0" indent="0" algn="l"/>
          <a:endParaRPr lang="en-IN" sz="1100">
            <a:solidFill>
              <a:schemeClr val="lt1"/>
            </a:solidFill>
            <a:latin typeface="+mn-lt"/>
            <a:ea typeface="+mn-ea"/>
            <a:cs typeface="+mn-cs"/>
          </a:endParaRPr>
        </a:p>
      </xdr:txBody>
    </xdr:sp>
    <xdr:clientData/>
  </xdr:twoCellAnchor>
  <xdr:twoCellAnchor editAs="absolute">
    <xdr:from>
      <xdr:col>3</xdr:col>
      <xdr:colOff>77057</xdr:colOff>
      <xdr:row>3</xdr:row>
      <xdr:rowOff>34248</xdr:rowOff>
    </xdr:from>
    <xdr:to>
      <xdr:col>7</xdr:col>
      <xdr:colOff>85619</xdr:colOff>
      <xdr:row>13</xdr:row>
      <xdr:rowOff>154113</xdr:rowOff>
    </xdr:to>
    <xdr:sp macro="" textlink="">
      <xdr:nvSpPr>
        <xdr:cNvPr id="16" name="Rectangle: Rounded Corners 15">
          <a:extLst>
            <a:ext uri="{FF2B5EF4-FFF2-40B4-BE49-F238E27FC236}">
              <a16:creationId xmlns:a16="http://schemas.microsoft.com/office/drawing/2014/main" id="{375C2ACB-9160-B3BC-5800-13C453E08D49}"/>
            </a:ext>
          </a:extLst>
        </xdr:cNvPr>
        <xdr:cNvSpPr/>
      </xdr:nvSpPr>
      <xdr:spPr>
        <a:xfrm>
          <a:off x="1900720" y="573641"/>
          <a:ext cx="2440112" cy="1917843"/>
        </a:xfrm>
        <a:prstGeom prst="roundRect">
          <a:avLst>
            <a:gd name="adj" fmla="val 7663"/>
          </a:avLst>
        </a:prstGeom>
        <a:solidFill>
          <a:schemeClr val="tx1">
            <a:lumMod val="85000"/>
            <a:lumOff val="15000"/>
          </a:schemeClr>
        </a:solidFill>
        <a:ln w="12700" cap="flat"/>
        <a:effectLst>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179797</xdr:colOff>
      <xdr:row>0</xdr:row>
      <xdr:rowOff>56554</xdr:rowOff>
    </xdr:from>
    <xdr:to>
      <xdr:col>22</xdr:col>
      <xdr:colOff>547954</xdr:colOff>
      <xdr:row>5</xdr:row>
      <xdr:rowOff>102740</xdr:rowOff>
    </xdr:to>
    <xdr:sp macro="" textlink="">
      <xdr:nvSpPr>
        <xdr:cNvPr id="4" name="Rectangle 3">
          <a:extLst>
            <a:ext uri="{FF2B5EF4-FFF2-40B4-BE49-F238E27FC236}">
              <a16:creationId xmlns:a16="http://schemas.microsoft.com/office/drawing/2014/main" id="{D0065BE2-3BDA-462C-A13B-AA8F135149C2}"/>
            </a:ext>
          </a:extLst>
        </xdr:cNvPr>
        <xdr:cNvSpPr/>
      </xdr:nvSpPr>
      <xdr:spPr>
        <a:xfrm>
          <a:off x="11121775" y="56554"/>
          <a:ext cx="2799707" cy="945175"/>
        </a:xfrm>
        <a:prstGeom prst="round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clientData/>
  </xdr:twoCellAnchor>
  <xdr:twoCellAnchor>
    <xdr:from>
      <xdr:col>18</xdr:col>
      <xdr:colOff>171235</xdr:colOff>
      <xdr:row>5</xdr:row>
      <xdr:rowOff>162674</xdr:rowOff>
    </xdr:from>
    <xdr:to>
      <xdr:col>22</xdr:col>
      <xdr:colOff>588420</xdr:colOff>
      <xdr:row>11</xdr:row>
      <xdr:rowOff>20506</xdr:rowOff>
    </xdr:to>
    <xdr:sp macro="" textlink="">
      <xdr:nvSpPr>
        <xdr:cNvPr id="9" name="Rectangle 8">
          <a:extLst>
            <a:ext uri="{FF2B5EF4-FFF2-40B4-BE49-F238E27FC236}">
              <a16:creationId xmlns:a16="http://schemas.microsoft.com/office/drawing/2014/main" id="{DBBAA12E-B0EC-48C0-9F79-A610F6794A90}"/>
            </a:ext>
          </a:extLst>
        </xdr:cNvPr>
        <xdr:cNvSpPr/>
      </xdr:nvSpPr>
      <xdr:spPr>
        <a:xfrm>
          <a:off x="11113213" y="1061663"/>
          <a:ext cx="2848735" cy="936618"/>
        </a:xfrm>
        <a:prstGeom prst="round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68496</xdr:colOff>
      <xdr:row>3</xdr:row>
      <xdr:rowOff>8562</xdr:rowOff>
    </xdr:from>
    <xdr:to>
      <xdr:col>3</xdr:col>
      <xdr:colOff>111304</xdr:colOff>
      <xdr:row>8</xdr:row>
      <xdr:rowOff>59933</xdr:rowOff>
    </xdr:to>
    <xdr:sp macro="" textlink="">
      <xdr:nvSpPr>
        <xdr:cNvPr id="19" name="Rectangle: Rounded Corners 18">
          <a:extLst>
            <a:ext uri="{FF2B5EF4-FFF2-40B4-BE49-F238E27FC236}">
              <a16:creationId xmlns:a16="http://schemas.microsoft.com/office/drawing/2014/main" id="{E6B5BEFD-989C-41B6-B7A6-2E0F216316D8}"/>
            </a:ext>
          </a:extLst>
        </xdr:cNvPr>
        <xdr:cNvSpPr/>
      </xdr:nvSpPr>
      <xdr:spPr>
        <a:xfrm>
          <a:off x="68496" y="547955"/>
          <a:ext cx="1866471" cy="950360"/>
        </a:xfrm>
        <a:prstGeom prst="round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111306</xdr:colOff>
      <xdr:row>14</xdr:row>
      <xdr:rowOff>42809</xdr:rowOff>
    </xdr:from>
    <xdr:to>
      <xdr:col>7</xdr:col>
      <xdr:colOff>265416</xdr:colOff>
      <xdr:row>30</xdr:row>
      <xdr:rowOff>188360</xdr:rowOff>
    </xdr:to>
    <xdr:sp macro="" textlink="">
      <xdr:nvSpPr>
        <xdr:cNvPr id="20" name="Rectangle: Rounded Corners 19">
          <a:extLst>
            <a:ext uri="{FF2B5EF4-FFF2-40B4-BE49-F238E27FC236}">
              <a16:creationId xmlns:a16="http://schemas.microsoft.com/office/drawing/2014/main" id="{07E46C66-CC58-6245-9E60-17C6594BD830}"/>
            </a:ext>
          </a:extLst>
        </xdr:cNvPr>
        <xdr:cNvSpPr/>
      </xdr:nvSpPr>
      <xdr:spPr>
        <a:xfrm>
          <a:off x="1934969" y="2559978"/>
          <a:ext cx="2585660" cy="3022315"/>
        </a:xfrm>
        <a:prstGeom prst="roundRect">
          <a:avLst>
            <a:gd name="adj" fmla="val 9394"/>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102742</xdr:colOff>
      <xdr:row>8</xdr:row>
      <xdr:rowOff>102742</xdr:rowOff>
    </xdr:from>
    <xdr:to>
      <xdr:col>3</xdr:col>
      <xdr:colOff>85619</xdr:colOff>
      <xdr:row>30</xdr:row>
      <xdr:rowOff>205483</xdr:rowOff>
    </xdr:to>
    <xdr:sp macro="" textlink="">
      <xdr:nvSpPr>
        <xdr:cNvPr id="21" name="Rectangle: Rounded Corners 20">
          <a:extLst>
            <a:ext uri="{FF2B5EF4-FFF2-40B4-BE49-F238E27FC236}">
              <a16:creationId xmlns:a16="http://schemas.microsoft.com/office/drawing/2014/main" id="{194B1373-B8A4-B10D-422E-FBDAC1345287}"/>
            </a:ext>
          </a:extLst>
        </xdr:cNvPr>
        <xdr:cNvSpPr/>
      </xdr:nvSpPr>
      <xdr:spPr>
        <a:xfrm>
          <a:off x="102742" y="1541124"/>
          <a:ext cx="1806540" cy="4058292"/>
        </a:xfrm>
        <a:prstGeom prst="roundRect">
          <a:avLst>
            <a:gd name="adj" fmla="val 6911"/>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333910</xdr:colOff>
      <xdr:row>14</xdr:row>
      <xdr:rowOff>59930</xdr:rowOff>
    </xdr:from>
    <xdr:to>
      <xdr:col>17</xdr:col>
      <xdr:colOff>376718</xdr:colOff>
      <xdr:row>30</xdr:row>
      <xdr:rowOff>196919</xdr:rowOff>
    </xdr:to>
    <xdr:sp macro="" textlink="">
      <xdr:nvSpPr>
        <xdr:cNvPr id="22" name="Rectangle: Rounded Corners 21">
          <a:extLst>
            <a:ext uri="{FF2B5EF4-FFF2-40B4-BE49-F238E27FC236}">
              <a16:creationId xmlns:a16="http://schemas.microsoft.com/office/drawing/2014/main" id="{A0E96F44-4422-250B-5AD3-5F11B9F27D4B}"/>
            </a:ext>
          </a:extLst>
        </xdr:cNvPr>
        <xdr:cNvSpPr/>
      </xdr:nvSpPr>
      <xdr:spPr>
        <a:xfrm rot="10800000">
          <a:off x="4589123" y="2577099"/>
          <a:ext cx="6121685" cy="3013753"/>
        </a:xfrm>
        <a:prstGeom prst="roundRect">
          <a:avLst>
            <a:gd name="adj" fmla="val 7233"/>
          </a:avLst>
        </a:prstGeom>
        <a:solidFill>
          <a:schemeClr val="tx1">
            <a:lumMod val="85000"/>
            <a:lumOff val="15000"/>
          </a:schemeClr>
        </a:solidFill>
        <a:effectLst>
          <a:glow>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85619</xdr:colOff>
      <xdr:row>0</xdr:row>
      <xdr:rowOff>94182</xdr:rowOff>
    </xdr:from>
    <xdr:to>
      <xdr:col>11</xdr:col>
      <xdr:colOff>222607</xdr:colOff>
      <xdr:row>2</xdr:row>
      <xdr:rowOff>51372</xdr:rowOff>
    </xdr:to>
    <xdr:sp macro="" textlink="">
      <xdr:nvSpPr>
        <xdr:cNvPr id="39" name="TextBox 38">
          <a:extLst>
            <a:ext uri="{FF2B5EF4-FFF2-40B4-BE49-F238E27FC236}">
              <a16:creationId xmlns:a16="http://schemas.microsoft.com/office/drawing/2014/main" id="{DB7B3F6E-D3AA-2F0A-6CC3-4E308C00801E}"/>
            </a:ext>
          </a:extLst>
        </xdr:cNvPr>
        <xdr:cNvSpPr txBox="1"/>
      </xdr:nvSpPr>
      <xdr:spPr>
        <a:xfrm>
          <a:off x="85619" y="94182"/>
          <a:ext cx="6823752" cy="316786"/>
        </a:xfrm>
        <a:prstGeom prst="rect">
          <a:avLst/>
        </a:prstGeom>
        <a:solidFill>
          <a:schemeClr val="tx1">
            <a:lumMod val="85000"/>
            <a:lumOff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i="1" cap="none" spc="0">
              <a:ln w="0"/>
              <a:solidFill>
                <a:schemeClr val="accent6">
                  <a:lumMod val="75000"/>
                </a:schemeClr>
              </a:solidFill>
              <a:effectLst/>
              <a:latin typeface="Algerian" panose="04020705040A02060702" pitchFamily="82" charset="0"/>
            </a:rPr>
            <a:t>Sales</a:t>
          </a:r>
          <a:r>
            <a:rPr lang="en-IN" sz="2000" b="1" i="1" cap="none" spc="0" baseline="0">
              <a:ln w="0"/>
              <a:solidFill>
                <a:schemeClr val="accent6">
                  <a:lumMod val="75000"/>
                </a:schemeClr>
              </a:solidFill>
              <a:effectLst/>
              <a:latin typeface="Algerian" panose="04020705040A02060702" pitchFamily="82" charset="0"/>
            </a:rPr>
            <a:t> Data </a:t>
          </a:r>
          <a:r>
            <a:rPr lang="en-IN" sz="2000" b="1" i="0" cap="none" spc="0" baseline="0">
              <a:ln w="0"/>
              <a:solidFill>
                <a:schemeClr val="accent6">
                  <a:lumMod val="75000"/>
                </a:schemeClr>
              </a:solidFill>
              <a:effectLst/>
              <a:latin typeface="Algerian" panose="04020705040A02060702" pitchFamily="82" charset="0"/>
            </a:rPr>
            <a:t>Analysis</a:t>
          </a:r>
          <a:endParaRPr lang="en-IN" sz="2000" b="1" i="0" cap="none" spc="0">
            <a:ln w="0"/>
            <a:solidFill>
              <a:schemeClr val="accent6">
                <a:lumMod val="75000"/>
              </a:schemeClr>
            </a:solidFill>
            <a:effectLst/>
            <a:latin typeface="Algerian" panose="04020705040A02060702" pitchFamily="82" charset="0"/>
          </a:endParaRPr>
        </a:p>
      </xdr:txBody>
    </xdr:sp>
    <xdr:clientData/>
  </xdr:twoCellAnchor>
  <xdr:twoCellAnchor editAs="oneCell">
    <xdr:from>
      <xdr:col>3</xdr:col>
      <xdr:colOff>111306</xdr:colOff>
      <xdr:row>4</xdr:row>
      <xdr:rowOff>34247</xdr:rowOff>
    </xdr:from>
    <xdr:to>
      <xdr:col>6</xdr:col>
      <xdr:colOff>599327</xdr:colOff>
      <xdr:row>13</xdr:row>
      <xdr:rowOff>102742</xdr:rowOff>
    </xdr:to>
    <mc:AlternateContent xmlns:mc="http://schemas.openxmlformats.org/markup-compatibility/2006">
      <mc:Choice xmlns:a14="http://schemas.microsoft.com/office/drawing/2010/main" Requires="a14">
        <xdr:graphicFrame macro="">
          <xdr:nvGraphicFramePr>
            <xdr:cNvPr id="50" name="Region 2">
              <a:extLst>
                <a:ext uri="{FF2B5EF4-FFF2-40B4-BE49-F238E27FC236}">
                  <a16:creationId xmlns:a16="http://schemas.microsoft.com/office/drawing/2014/main" id="{A0F3ADDB-4904-43ED-A6D4-72C0FE161069}"/>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1934969" y="753438"/>
              <a:ext cx="2311684" cy="1686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162675</xdr:colOff>
      <xdr:row>3</xdr:row>
      <xdr:rowOff>68494</xdr:rowOff>
    </xdr:from>
    <xdr:to>
      <xdr:col>2</xdr:col>
      <xdr:colOff>453776</xdr:colOff>
      <xdr:row>8</xdr:row>
      <xdr:rowOff>51370</xdr:rowOff>
    </xdr:to>
    <mc:AlternateContent xmlns:mc="http://schemas.openxmlformats.org/markup-compatibility/2006" xmlns:a14="http://schemas.microsoft.com/office/drawing/2010/main">
      <mc:Choice Requires="a14">
        <xdr:graphicFrame macro="">
          <xdr:nvGraphicFramePr>
            <xdr:cNvPr id="53" name="Years (Order_Date)">
              <a:extLst>
                <a:ext uri="{FF2B5EF4-FFF2-40B4-BE49-F238E27FC236}">
                  <a16:creationId xmlns:a16="http://schemas.microsoft.com/office/drawing/2014/main" id="{3DE1A4D3-1C10-4BDA-90C7-A89BB41B04EC}"/>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Years (Order_Date)"/>
            </a:graphicData>
          </a:graphic>
        </xdr:graphicFrame>
      </mc:Choice>
      <mc:Fallback xmlns="">
        <xdr:sp macro="" textlink="">
          <xdr:nvSpPr>
            <xdr:cNvPr id="0" name=""/>
            <xdr:cNvSpPr>
              <a:spLocks noTextEdit="1"/>
            </xdr:cNvSpPr>
          </xdr:nvSpPr>
          <xdr:spPr>
            <a:xfrm>
              <a:off x="162675" y="607887"/>
              <a:ext cx="1506876" cy="8818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214046</xdr:colOff>
      <xdr:row>9</xdr:row>
      <xdr:rowOff>25685</xdr:rowOff>
    </xdr:from>
    <xdr:to>
      <xdr:col>2</xdr:col>
      <xdr:colOff>513708</xdr:colOff>
      <xdr:row>31</xdr:row>
      <xdr:rowOff>17123</xdr:rowOff>
    </xdr:to>
    <mc:AlternateContent xmlns:mc="http://schemas.openxmlformats.org/markup-compatibility/2006">
      <mc:Choice xmlns:a14="http://schemas.microsoft.com/office/drawing/2010/main" Requires="a14">
        <xdr:graphicFrame macro="">
          <xdr:nvGraphicFramePr>
            <xdr:cNvPr id="5" name="Months (Order_Date)">
              <a:extLst>
                <a:ext uri="{FF2B5EF4-FFF2-40B4-BE49-F238E27FC236}">
                  <a16:creationId xmlns:a16="http://schemas.microsoft.com/office/drawing/2014/main" id="{52E15576-61AC-4BA3-A077-57D953EFBC7D}"/>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Months (Order_Date)"/>
            </a:graphicData>
          </a:graphic>
        </xdr:graphicFrame>
      </mc:Choice>
      <mc:Fallback>
        <xdr:sp macro="" textlink="">
          <xdr:nvSpPr>
            <xdr:cNvPr id="0" name=""/>
            <xdr:cNvSpPr>
              <a:spLocks noTextEdit="1"/>
            </xdr:cNvSpPr>
          </xdr:nvSpPr>
          <xdr:spPr>
            <a:xfrm>
              <a:off x="214046" y="1643865"/>
              <a:ext cx="1515437" cy="39812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7</xdr:col>
      <xdr:colOff>220893</xdr:colOff>
      <xdr:row>3</xdr:row>
      <xdr:rowOff>32535</xdr:rowOff>
    </xdr:from>
    <xdr:to>
      <xdr:col>11</xdr:col>
      <xdr:colOff>263703</xdr:colOff>
      <xdr:row>13</xdr:row>
      <xdr:rowOff>162674</xdr:rowOff>
    </xdr:to>
    <xdr:sp macro="" textlink="">
      <xdr:nvSpPr>
        <xdr:cNvPr id="18" name="Rectangle: Rounded Corners 17">
          <a:extLst>
            <a:ext uri="{FF2B5EF4-FFF2-40B4-BE49-F238E27FC236}">
              <a16:creationId xmlns:a16="http://schemas.microsoft.com/office/drawing/2014/main" id="{74E08A2C-4EDD-48F2-B715-5348BC85B185}"/>
            </a:ext>
          </a:extLst>
        </xdr:cNvPr>
        <xdr:cNvSpPr/>
      </xdr:nvSpPr>
      <xdr:spPr>
        <a:xfrm>
          <a:off x="4476106" y="571928"/>
          <a:ext cx="2474361" cy="1928117"/>
        </a:xfrm>
        <a:prstGeom prst="roundRect">
          <a:avLst>
            <a:gd name="adj" fmla="val 7663"/>
          </a:avLst>
        </a:prstGeom>
        <a:solidFill>
          <a:schemeClr val="tx1">
            <a:lumMod val="85000"/>
            <a:lumOff val="15000"/>
          </a:schemeClr>
        </a:solidFill>
        <a:ln w="12700" cap="flat"/>
        <a:effectLst>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7</xdr:col>
      <xdr:colOff>368159</xdr:colOff>
      <xdr:row>4</xdr:row>
      <xdr:rowOff>51370</xdr:rowOff>
    </xdr:from>
    <xdr:to>
      <xdr:col>11</xdr:col>
      <xdr:colOff>85618</xdr:colOff>
      <xdr:row>13</xdr:row>
      <xdr:rowOff>111303</xdr:rowOff>
    </xdr:to>
    <mc:AlternateContent xmlns:mc="http://schemas.openxmlformats.org/markup-compatibility/2006">
      <mc:Choice xmlns:a14="http://schemas.microsoft.com/office/drawing/2010/main" Requires="a14">
        <xdr:graphicFrame macro="">
          <xdr:nvGraphicFramePr>
            <xdr:cNvPr id="23" name="Product_Category">
              <a:extLst>
                <a:ext uri="{FF2B5EF4-FFF2-40B4-BE49-F238E27FC236}">
                  <a16:creationId xmlns:a16="http://schemas.microsoft.com/office/drawing/2014/main" id="{F99A1303-8AB8-4C77-B350-460F6C1DEB4C}"/>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4623372" y="770561"/>
              <a:ext cx="2149010" cy="16781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368156</xdr:colOff>
      <xdr:row>0</xdr:row>
      <xdr:rowOff>59840</xdr:rowOff>
    </xdr:from>
    <xdr:to>
      <xdr:col>18</xdr:col>
      <xdr:colOff>111303</xdr:colOff>
      <xdr:row>14</xdr:row>
      <xdr:rowOff>8561</xdr:rowOff>
    </xdr:to>
    <xdr:sp macro="" textlink="">
      <xdr:nvSpPr>
        <xdr:cNvPr id="29" name="Rectangle 28">
          <a:extLst>
            <a:ext uri="{FF2B5EF4-FFF2-40B4-BE49-F238E27FC236}">
              <a16:creationId xmlns:a16="http://schemas.microsoft.com/office/drawing/2014/main" id="{9809D82C-FFAA-40FE-99F2-E76D2475906B}"/>
            </a:ext>
          </a:extLst>
        </xdr:cNvPr>
        <xdr:cNvSpPr/>
      </xdr:nvSpPr>
      <xdr:spPr>
        <a:xfrm>
          <a:off x="7054920" y="59840"/>
          <a:ext cx="3998361" cy="2465890"/>
        </a:xfrm>
        <a:prstGeom prst="roundRect">
          <a:avLst>
            <a:gd name="adj" fmla="val 6802"/>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479460</xdr:colOff>
      <xdr:row>0</xdr:row>
      <xdr:rowOff>145551</xdr:rowOff>
    </xdr:from>
    <xdr:to>
      <xdr:col>17</xdr:col>
      <xdr:colOff>513707</xdr:colOff>
      <xdr:row>13</xdr:row>
      <xdr:rowOff>119865</xdr:rowOff>
    </xdr:to>
    <xdr:graphicFrame macro="">
      <xdr:nvGraphicFramePr>
        <xdr:cNvPr id="38" name="Chart 37">
          <a:extLst>
            <a:ext uri="{FF2B5EF4-FFF2-40B4-BE49-F238E27FC236}">
              <a16:creationId xmlns:a16="http://schemas.microsoft.com/office/drawing/2014/main" id="{1EBC797B-5B05-4D71-8E73-5E3C500395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196921</xdr:colOff>
      <xdr:row>11</xdr:row>
      <xdr:rowOff>77056</xdr:rowOff>
    </xdr:from>
    <xdr:to>
      <xdr:col>22</xdr:col>
      <xdr:colOff>595899</xdr:colOff>
      <xdr:row>30</xdr:row>
      <xdr:rowOff>188358</xdr:rowOff>
    </xdr:to>
    <xdr:sp macro="" textlink="">
      <xdr:nvSpPr>
        <xdr:cNvPr id="43" name="Rectangle 26">
          <a:extLst>
            <a:ext uri="{FF2B5EF4-FFF2-40B4-BE49-F238E27FC236}">
              <a16:creationId xmlns:a16="http://schemas.microsoft.com/office/drawing/2014/main" id="{A44D7318-1E57-41DA-B934-56529FD329A4}"/>
            </a:ext>
          </a:extLst>
        </xdr:cNvPr>
        <xdr:cNvSpPr/>
      </xdr:nvSpPr>
      <xdr:spPr>
        <a:xfrm rot="16200000">
          <a:off x="10790433" y="2403297"/>
          <a:ext cx="3527460" cy="2830528"/>
        </a:xfrm>
        <a:prstGeom prst="roundRect">
          <a:avLst>
            <a:gd name="adj" fmla="val 5959"/>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333910</xdr:colOff>
      <xdr:row>13</xdr:row>
      <xdr:rowOff>154111</xdr:rowOff>
    </xdr:from>
    <xdr:to>
      <xdr:col>22</xdr:col>
      <xdr:colOff>462338</xdr:colOff>
      <xdr:row>30</xdr:row>
      <xdr:rowOff>136988</xdr:rowOff>
    </xdr:to>
    <xdr:graphicFrame macro="">
      <xdr:nvGraphicFramePr>
        <xdr:cNvPr id="46" name="Chart 45">
          <a:extLst>
            <a:ext uri="{FF2B5EF4-FFF2-40B4-BE49-F238E27FC236}">
              <a16:creationId xmlns:a16="http://schemas.microsoft.com/office/drawing/2014/main" id="{328CFFF6-92C9-4ABF-AC01-5D17F871D1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248291</xdr:colOff>
      <xdr:row>17</xdr:row>
      <xdr:rowOff>59932</xdr:rowOff>
    </xdr:from>
    <xdr:to>
      <xdr:col>7</xdr:col>
      <xdr:colOff>376721</xdr:colOff>
      <xdr:row>29</xdr:row>
      <xdr:rowOff>154112</xdr:rowOff>
    </xdr:to>
    <xdr:graphicFrame macro="">
      <xdr:nvGraphicFramePr>
        <xdr:cNvPr id="48" name="Chart 47">
          <a:extLst>
            <a:ext uri="{FF2B5EF4-FFF2-40B4-BE49-F238E27FC236}">
              <a16:creationId xmlns:a16="http://schemas.microsoft.com/office/drawing/2014/main" id="{B851BA39-8982-46D1-A78C-A4AE992B95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410965</xdr:colOff>
      <xdr:row>15</xdr:row>
      <xdr:rowOff>128427</xdr:rowOff>
    </xdr:from>
    <xdr:to>
      <xdr:col>17</xdr:col>
      <xdr:colOff>68493</xdr:colOff>
      <xdr:row>30</xdr:row>
      <xdr:rowOff>88742</xdr:rowOff>
    </xdr:to>
    <xdr:graphicFrame macro="">
      <xdr:nvGraphicFramePr>
        <xdr:cNvPr id="54" name="Chart 53">
          <a:extLst>
            <a:ext uri="{FF2B5EF4-FFF2-40B4-BE49-F238E27FC236}">
              <a16:creationId xmlns:a16="http://schemas.microsoft.com/office/drawing/2014/main" id="{5062FD70-A29B-41D5-913A-617DE32DA6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42809</xdr:colOff>
      <xdr:row>0</xdr:row>
      <xdr:rowOff>145551</xdr:rowOff>
    </xdr:from>
    <xdr:to>
      <xdr:col>21</xdr:col>
      <xdr:colOff>530831</xdr:colOff>
      <xdr:row>3</xdr:row>
      <xdr:rowOff>51372</xdr:rowOff>
    </xdr:to>
    <xdr:sp macro="" textlink="'Pie chart'!G12">
      <xdr:nvSpPr>
        <xdr:cNvPr id="55" name="TextBox 54">
          <a:extLst>
            <a:ext uri="{FF2B5EF4-FFF2-40B4-BE49-F238E27FC236}">
              <a16:creationId xmlns:a16="http://schemas.microsoft.com/office/drawing/2014/main" id="{2AE9103F-4C9F-FB94-F1D3-E19DA59D8F20}"/>
            </a:ext>
          </a:extLst>
        </xdr:cNvPr>
        <xdr:cNvSpPr txBox="1"/>
      </xdr:nvSpPr>
      <xdr:spPr>
        <a:xfrm>
          <a:off x="11592674" y="145551"/>
          <a:ext cx="1703797" cy="445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976AB44-218A-4CE4-862C-E26ED84DD3C3}" type="TxLink">
            <a:rPr lang="en-US" sz="2400" b="1" i="0" u="none" strike="noStrike">
              <a:solidFill>
                <a:schemeClr val="accent6">
                  <a:lumMod val="75000"/>
                </a:schemeClr>
              </a:solidFill>
              <a:effectLst/>
              <a:latin typeface="Calibri"/>
              <a:ea typeface="Calibri"/>
              <a:cs typeface="Calibri"/>
            </a:rPr>
            <a:pPr algn="ctr"/>
            <a:t> ₹ 1,95,218 </a:t>
          </a:fld>
          <a:r>
            <a:rPr lang="en-US" sz="2400" b="1" i="0" u="none" strike="noStrike">
              <a:solidFill>
                <a:schemeClr val="accent6">
                  <a:lumMod val="75000"/>
                </a:schemeClr>
              </a:solidFill>
              <a:effectLst/>
              <a:latin typeface="Calibri"/>
              <a:ea typeface="Calibri"/>
              <a:cs typeface="Calibri"/>
            </a:rPr>
            <a:t> </a:t>
          </a:r>
          <a:endParaRPr lang="en-US" sz="1100" b="1">
            <a:solidFill>
              <a:schemeClr val="accent6">
                <a:lumMod val="75000"/>
              </a:schemeClr>
            </a:solidFill>
            <a:effectLst/>
          </a:endParaRPr>
        </a:p>
      </xdr:txBody>
    </xdr:sp>
    <xdr:clientData/>
  </xdr:twoCellAnchor>
  <xdr:twoCellAnchor>
    <xdr:from>
      <xdr:col>18</xdr:col>
      <xdr:colOff>505146</xdr:colOff>
      <xdr:row>5</xdr:row>
      <xdr:rowOff>162671</xdr:rowOff>
    </xdr:from>
    <xdr:to>
      <xdr:col>22</xdr:col>
      <xdr:colOff>154112</xdr:colOff>
      <xdr:row>8</xdr:row>
      <xdr:rowOff>128426</xdr:rowOff>
    </xdr:to>
    <xdr:sp macro="" textlink="#REF!">
      <xdr:nvSpPr>
        <xdr:cNvPr id="3" name="TextBox 2">
          <a:extLst>
            <a:ext uri="{FF2B5EF4-FFF2-40B4-BE49-F238E27FC236}">
              <a16:creationId xmlns:a16="http://schemas.microsoft.com/office/drawing/2014/main" id="{07EB6122-55BC-8B80-6552-32DED6317AD5}"/>
            </a:ext>
          </a:extLst>
        </xdr:cNvPr>
        <xdr:cNvSpPr txBox="1"/>
      </xdr:nvSpPr>
      <xdr:spPr>
        <a:xfrm>
          <a:off x="11447124" y="1061660"/>
          <a:ext cx="2080516" cy="5051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7E16B9E-E99F-4BCE-989B-E59F65EEF1CF}" type="TxLink">
            <a:rPr lang="en-US" sz="2800" b="1" i="0" u="none" strike="noStrike">
              <a:solidFill>
                <a:schemeClr val="accent6">
                  <a:lumMod val="75000"/>
                </a:schemeClr>
              </a:solidFill>
              <a:latin typeface="Calibri"/>
              <a:ea typeface="Calibri"/>
              <a:cs typeface="Calibri"/>
            </a:rPr>
            <a:pPr algn="ctr"/>
            <a:t>68287</a:t>
          </a:fld>
          <a:endParaRPr lang="en-IN" sz="1100" b="1">
            <a:solidFill>
              <a:schemeClr val="accent6">
                <a:lumMod val="75000"/>
              </a:schemeClr>
            </a:solidFill>
          </a:endParaRPr>
        </a:p>
      </xdr:txBody>
    </xdr:sp>
    <xdr:clientData/>
  </xdr:twoCellAnchor>
  <xdr:twoCellAnchor>
    <xdr:from>
      <xdr:col>18</xdr:col>
      <xdr:colOff>402404</xdr:colOff>
      <xdr:row>3</xdr:row>
      <xdr:rowOff>17123</xdr:rowOff>
    </xdr:from>
    <xdr:to>
      <xdr:col>22</xdr:col>
      <xdr:colOff>445214</xdr:colOff>
      <xdr:row>5</xdr:row>
      <xdr:rowOff>25685</xdr:rowOff>
    </xdr:to>
    <xdr:sp macro="" textlink="">
      <xdr:nvSpPr>
        <xdr:cNvPr id="6" name="TextBox 5">
          <a:extLst>
            <a:ext uri="{FF2B5EF4-FFF2-40B4-BE49-F238E27FC236}">
              <a16:creationId xmlns:a16="http://schemas.microsoft.com/office/drawing/2014/main" id="{1EDD388A-2565-CC60-67F5-48340116E28D}"/>
            </a:ext>
          </a:extLst>
        </xdr:cNvPr>
        <xdr:cNvSpPr txBox="1"/>
      </xdr:nvSpPr>
      <xdr:spPr>
        <a:xfrm>
          <a:off x="11344382" y="556516"/>
          <a:ext cx="2474360" cy="3681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bg2"/>
              </a:solidFill>
            </a:rPr>
            <a:t>Total</a:t>
          </a:r>
          <a:r>
            <a:rPr lang="en-IN" sz="1600" b="1" baseline="0">
              <a:solidFill>
                <a:schemeClr val="bg2"/>
              </a:solidFill>
            </a:rPr>
            <a:t> Sales of </a:t>
          </a:r>
          <a:r>
            <a:rPr lang="en-IN" sz="1400" b="1" baseline="0">
              <a:solidFill>
                <a:schemeClr val="bg2"/>
              </a:solidFill>
            </a:rPr>
            <a:t>Company</a:t>
          </a:r>
          <a:endParaRPr lang="en-IN" sz="1600" b="1" baseline="0">
            <a:solidFill>
              <a:schemeClr val="bg2"/>
            </a:solidFill>
          </a:endParaRPr>
        </a:p>
        <a:p>
          <a:endParaRPr lang="en-IN" sz="1100"/>
        </a:p>
      </xdr:txBody>
    </xdr:sp>
    <xdr:clientData/>
  </xdr:twoCellAnchor>
  <xdr:twoCellAnchor>
    <xdr:from>
      <xdr:col>19</xdr:col>
      <xdr:colOff>400691</xdr:colOff>
      <xdr:row>7</xdr:row>
      <xdr:rowOff>178086</xdr:rowOff>
    </xdr:from>
    <xdr:to>
      <xdr:col>21</xdr:col>
      <xdr:colOff>385281</xdr:colOff>
      <xdr:row>9</xdr:row>
      <xdr:rowOff>94180</xdr:rowOff>
    </xdr:to>
    <xdr:sp macro="" textlink="">
      <xdr:nvSpPr>
        <xdr:cNvPr id="7" name="TextBox 6">
          <a:extLst>
            <a:ext uri="{FF2B5EF4-FFF2-40B4-BE49-F238E27FC236}">
              <a16:creationId xmlns:a16="http://schemas.microsoft.com/office/drawing/2014/main" id="{07F2F1A3-74F5-4809-A16A-E15982BF1039}"/>
            </a:ext>
          </a:extLst>
        </xdr:cNvPr>
        <xdr:cNvSpPr txBox="1"/>
      </xdr:nvSpPr>
      <xdr:spPr>
        <a:xfrm>
          <a:off x="11950556" y="1436670"/>
          <a:ext cx="1200365" cy="2756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2"/>
              </a:solidFill>
            </a:rPr>
            <a:t>Total</a:t>
          </a:r>
          <a:r>
            <a:rPr lang="en-IN" sz="1600" b="1" baseline="0">
              <a:solidFill>
                <a:schemeClr val="bg2"/>
              </a:solidFill>
            </a:rPr>
            <a:t> Profit </a:t>
          </a:r>
        </a:p>
        <a:p>
          <a:endParaRPr lang="en-IN" sz="1100"/>
        </a:p>
      </xdr:txBody>
    </xdr:sp>
    <xdr:clientData/>
  </xdr:twoCellAnchor>
  <xdr:twoCellAnchor>
    <xdr:from>
      <xdr:col>3</xdr:col>
      <xdr:colOff>325350</xdr:colOff>
      <xdr:row>14</xdr:row>
      <xdr:rowOff>119866</xdr:rowOff>
    </xdr:from>
    <xdr:to>
      <xdr:col>6</xdr:col>
      <xdr:colOff>8563</xdr:colOff>
      <xdr:row>16</xdr:row>
      <xdr:rowOff>34248</xdr:rowOff>
    </xdr:to>
    <xdr:sp macro="" textlink="">
      <xdr:nvSpPr>
        <xdr:cNvPr id="8" name="TextBox 7">
          <a:extLst>
            <a:ext uri="{FF2B5EF4-FFF2-40B4-BE49-F238E27FC236}">
              <a16:creationId xmlns:a16="http://schemas.microsoft.com/office/drawing/2014/main" id="{433C14CE-9D45-C983-355C-0A3953E6BBD2}"/>
            </a:ext>
          </a:extLst>
        </xdr:cNvPr>
        <xdr:cNvSpPr txBox="1"/>
      </xdr:nvSpPr>
      <xdr:spPr>
        <a:xfrm>
          <a:off x="2149013" y="2637035"/>
          <a:ext cx="1506876" cy="273977"/>
        </a:xfrm>
        <a:prstGeom prst="roundRect">
          <a:avLst/>
        </a:prstGeom>
        <a:solidFill>
          <a:schemeClr val="bg2">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Region Wise Sales</a:t>
          </a:r>
        </a:p>
      </xdr:txBody>
    </xdr:sp>
    <xdr:clientData/>
  </xdr:twoCellAnchor>
  <xdr:twoCellAnchor editAs="oneCell">
    <xdr:from>
      <xdr:col>3</xdr:col>
      <xdr:colOff>419527</xdr:colOff>
      <xdr:row>14</xdr:row>
      <xdr:rowOff>145550</xdr:rowOff>
    </xdr:from>
    <xdr:to>
      <xdr:col>4</xdr:col>
      <xdr:colOff>34247</xdr:colOff>
      <xdr:row>16</xdr:row>
      <xdr:rowOff>8563</xdr:rowOff>
    </xdr:to>
    <xdr:pic>
      <xdr:nvPicPr>
        <xdr:cNvPr id="15" name="Graphic 14" descr="Pie chart with solid fill">
          <a:extLst>
            <a:ext uri="{FF2B5EF4-FFF2-40B4-BE49-F238E27FC236}">
              <a16:creationId xmlns:a16="http://schemas.microsoft.com/office/drawing/2014/main" id="{D44027BF-B2F0-F760-543F-4F1D1FDA630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243190" y="2662719"/>
          <a:ext cx="222608" cy="222608"/>
        </a:xfrm>
        <a:prstGeom prst="rect">
          <a:avLst/>
        </a:prstGeom>
      </xdr:spPr>
    </xdr:pic>
    <xdr:clientData/>
  </xdr:twoCellAnchor>
  <xdr:twoCellAnchor>
    <xdr:from>
      <xdr:col>8</xdr:col>
      <xdr:colOff>42809</xdr:colOff>
      <xdr:row>14</xdr:row>
      <xdr:rowOff>158392</xdr:rowOff>
    </xdr:from>
    <xdr:to>
      <xdr:col>10</xdr:col>
      <xdr:colOff>111304</xdr:colOff>
      <xdr:row>16</xdr:row>
      <xdr:rowOff>51371</xdr:rowOff>
    </xdr:to>
    <xdr:sp macro="" textlink="">
      <xdr:nvSpPr>
        <xdr:cNvPr id="25" name="TextBox 24">
          <a:extLst>
            <a:ext uri="{FF2B5EF4-FFF2-40B4-BE49-F238E27FC236}">
              <a16:creationId xmlns:a16="http://schemas.microsoft.com/office/drawing/2014/main" id="{E66476B3-9D71-40DB-8097-9F5CDFEA7DE1}"/>
            </a:ext>
          </a:extLst>
        </xdr:cNvPr>
        <xdr:cNvSpPr txBox="1"/>
      </xdr:nvSpPr>
      <xdr:spPr>
        <a:xfrm>
          <a:off x="4905910" y="2675561"/>
          <a:ext cx="1284270" cy="252574"/>
        </a:xfrm>
        <a:prstGeom prst="roundRect">
          <a:avLst/>
        </a:prstGeom>
        <a:solidFill>
          <a:schemeClr val="bg2">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Sales</a:t>
          </a:r>
          <a:r>
            <a:rPr lang="en-IN" sz="1100" baseline="0"/>
            <a:t> Growth</a:t>
          </a:r>
        </a:p>
        <a:p>
          <a:endParaRPr lang="en-IN" sz="1100"/>
        </a:p>
      </xdr:txBody>
    </xdr:sp>
    <xdr:clientData/>
  </xdr:twoCellAnchor>
  <xdr:twoCellAnchor editAs="oneCell">
    <xdr:from>
      <xdr:col>8</xdr:col>
      <xdr:colOff>162674</xdr:colOff>
      <xdr:row>15</xdr:row>
      <xdr:rowOff>34247</xdr:rowOff>
    </xdr:from>
    <xdr:to>
      <xdr:col>8</xdr:col>
      <xdr:colOff>359596</xdr:colOff>
      <xdr:row>16</xdr:row>
      <xdr:rowOff>51371</xdr:rowOff>
    </xdr:to>
    <xdr:pic>
      <xdr:nvPicPr>
        <xdr:cNvPr id="28" name="Graphic 27" descr="Bar graph with upward trend with solid fill">
          <a:extLst>
            <a:ext uri="{FF2B5EF4-FFF2-40B4-BE49-F238E27FC236}">
              <a16:creationId xmlns:a16="http://schemas.microsoft.com/office/drawing/2014/main" id="{732A0FE5-6339-C2F2-6D4A-0C8A1762AC5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025775" y="2731213"/>
          <a:ext cx="196922" cy="196922"/>
        </a:xfrm>
        <a:prstGeom prst="rect">
          <a:avLst/>
        </a:prstGeom>
      </xdr:spPr>
    </xdr:pic>
    <xdr:clientData/>
  </xdr:twoCellAnchor>
  <xdr:twoCellAnchor>
    <xdr:from>
      <xdr:col>11</xdr:col>
      <xdr:colOff>509436</xdr:colOff>
      <xdr:row>0</xdr:row>
      <xdr:rowOff>124146</xdr:rowOff>
    </xdr:from>
    <xdr:to>
      <xdr:col>14</xdr:col>
      <xdr:colOff>376719</xdr:colOff>
      <xdr:row>2</xdr:row>
      <xdr:rowOff>17124</xdr:rowOff>
    </xdr:to>
    <xdr:sp macro="" textlink="">
      <xdr:nvSpPr>
        <xdr:cNvPr id="30" name="TextBox 29">
          <a:extLst>
            <a:ext uri="{FF2B5EF4-FFF2-40B4-BE49-F238E27FC236}">
              <a16:creationId xmlns:a16="http://schemas.microsoft.com/office/drawing/2014/main" id="{2121E388-6025-4FF2-B4BA-94572D94518D}"/>
            </a:ext>
          </a:extLst>
        </xdr:cNvPr>
        <xdr:cNvSpPr txBox="1"/>
      </xdr:nvSpPr>
      <xdr:spPr>
        <a:xfrm>
          <a:off x="7196200" y="124146"/>
          <a:ext cx="1690946" cy="252574"/>
        </a:xfrm>
        <a:prstGeom prst="roundRect">
          <a:avLst/>
        </a:prstGeom>
        <a:solidFill>
          <a:schemeClr val="bg2">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Categories</a:t>
          </a:r>
          <a:r>
            <a:rPr lang="en-IN" sz="1100" baseline="0"/>
            <a:t> wise Sales</a:t>
          </a:r>
        </a:p>
        <a:p>
          <a:endParaRPr lang="en-IN" sz="1100"/>
        </a:p>
      </xdr:txBody>
    </xdr:sp>
    <xdr:clientData/>
  </xdr:twoCellAnchor>
  <xdr:twoCellAnchor editAs="oneCell">
    <xdr:from>
      <xdr:col>11</xdr:col>
      <xdr:colOff>582203</xdr:colOff>
      <xdr:row>0</xdr:row>
      <xdr:rowOff>145551</xdr:rowOff>
    </xdr:from>
    <xdr:to>
      <xdr:col>12</xdr:col>
      <xdr:colOff>188359</xdr:colOff>
      <xdr:row>2</xdr:row>
      <xdr:rowOff>-1</xdr:rowOff>
    </xdr:to>
    <xdr:pic>
      <xdr:nvPicPr>
        <xdr:cNvPr id="32" name="Graphic 31" descr="Network with solid fill">
          <a:extLst>
            <a:ext uri="{FF2B5EF4-FFF2-40B4-BE49-F238E27FC236}">
              <a16:creationId xmlns:a16="http://schemas.microsoft.com/office/drawing/2014/main" id="{79A86751-72FF-6241-2DD0-3963C267E2A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268967" y="145551"/>
          <a:ext cx="214044" cy="214044"/>
        </a:xfrm>
        <a:prstGeom prst="rect">
          <a:avLst/>
        </a:prstGeom>
      </xdr:spPr>
    </xdr:pic>
    <xdr:clientData/>
  </xdr:twoCellAnchor>
  <xdr:twoCellAnchor>
    <xdr:from>
      <xdr:col>13</xdr:col>
      <xdr:colOff>351033</xdr:colOff>
      <xdr:row>15</xdr:row>
      <xdr:rowOff>25687</xdr:rowOff>
    </xdr:from>
    <xdr:to>
      <xdr:col>17</xdr:col>
      <xdr:colOff>239729</xdr:colOff>
      <xdr:row>16</xdr:row>
      <xdr:rowOff>94181</xdr:rowOff>
    </xdr:to>
    <xdr:sp macro="" textlink="">
      <xdr:nvSpPr>
        <xdr:cNvPr id="40" name="TextBox 39">
          <a:extLst>
            <a:ext uri="{FF2B5EF4-FFF2-40B4-BE49-F238E27FC236}">
              <a16:creationId xmlns:a16="http://schemas.microsoft.com/office/drawing/2014/main" id="{00E6B9D6-4D66-A88A-20F9-831ECF8BC64F}"/>
            </a:ext>
          </a:extLst>
        </xdr:cNvPr>
        <xdr:cNvSpPr txBox="1"/>
      </xdr:nvSpPr>
      <xdr:spPr>
        <a:xfrm>
          <a:off x="8253572" y="2722653"/>
          <a:ext cx="2320247" cy="248292"/>
        </a:xfrm>
        <a:prstGeom prst="roundRect">
          <a:avLst/>
        </a:prstGeom>
        <a:solidFill>
          <a:schemeClr val="bg2">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solidFill>
              <a:schemeClr val="bg1"/>
            </a:solidFill>
          </a:endParaRPr>
        </a:p>
      </xdr:txBody>
    </xdr:sp>
    <xdr:clientData/>
  </xdr:twoCellAnchor>
  <xdr:twoCellAnchor editAs="oneCell">
    <xdr:from>
      <xdr:col>13</xdr:col>
      <xdr:colOff>357883</xdr:colOff>
      <xdr:row>15</xdr:row>
      <xdr:rowOff>41097</xdr:rowOff>
    </xdr:from>
    <xdr:to>
      <xdr:col>13</xdr:col>
      <xdr:colOff>590764</xdr:colOff>
      <xdr:row>16</xdr:row>
      <xdr:rowOff>94180</xdr:rowOff>
    </xdr:to>
    <xdr:pic>
      <xdr:nvPicPr>
        <xdr:cNvPr id="45" name="Graphic 44" descr="Upward trend with solid fill">
          <a:extLst>
            <a:ext uri="{FF2B5EF4-FFF2-40B4-BE49-F238E27FC236}">
              <a16:creationId xmlns:a16="http://schemas.microsoft.com/office/drawing/2014/main" id="{B09351FD-315F-4DDF-B3F7-86377CD30B95}"/>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8260422" y="2738063"/>
          <a:ext cx="232881" cy="232881"/>
        </a:xfrm>
        <a:prstGeom prst="rect">
          <a:avLst/>
        </a:prstGeom>
      </xdr:spPr>
    </xdr:pic>
    <xdr:clientData/>
  </xdr:twoCellAnchor>
  <xdr:twoCellAnchor>
    <xdr:from>
      <xdr:col>18</xdr:col>
      <xdr:colOff>419530</xdr:colOff>
      <xdr:row>11</xdr:row>
      <xdr:rowOff>171234</xdr:rowOff>
    </xdr:from>
    <xdr:to>
      <xdr:col>21</xdr:col>
      <xdr:colOff>453776</xdr:colOff>
      <xdr:row>13</xdr:row>
      <xdr:rowOff>77056</xdr:rowOff>
    </xdr:to>
    <xdr:sp macro="" textlink="">
      <xdr:nvSpPr>
        <xdr:cNvPr id="47" name="TextBox 46">
          <a:extLst>
            <a:ext uri="{FF2B5EF4-FFF2-40B4-BE49-F238E27FC236}">
              <a16:creationId xmlns:a16="http://schemas.microsoft.com/office/drawing/2014/main" id="{8837E1BD-FA59-4916-A124-DAB1A57F20DA}"/>
            </a:ext>
          </a:extLst>
        </xdr:cNvPr>
        <xdr:cNvSpPr txBox="1"/>
      </xdr:nvSpPr>
      <xdr:spPr>
        <a:xfrm>
          <a:off x="11361508" y="2149009"/>
          <a:ext cx="1857908" cy="265418"/>
        </a:xfrm>
        <a:prstGeom prst="roundRect">
          <a:avLst/>
        </a:prstGeom>
        <a:solidFill>
          <a:schemeClr val="bg2">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Most</a:t>
          </a:r>
          <a:r>
            <a:rPr lang="en-IN" sz="1100" baseline="0"/>
            <a:t> Valuable</a:t>
          </a:r>
          <a:r>
            <a:rPr lang="en-IN" sz="1100"/>
            <a:t> Customers</a:t>
          </a:r>
        </a:p>
      </xdr:txBody>
    </xdr:sp>
    <xdr:clientData/>
  </xdr:twoCellAnchor>
  <xdr:twoCellAnchor editAs="oneCell">
    <xdr:from>
      <xdr:col>18</xdr:col>
      <xdr:colOff>470899</xdr:colOff>
      <xdr:row>12</xdr:row>
      <xdr:rowOff>34247</xdr:rowOff>
    </xdr:from>
    <xdr:to>
      <xdr:col>19</xdr:col>
      <xdr:colOff>85618</xdr:colOff>
      <xdr:row>13</xdr:row>
      <xdr:rowOff>77055</xdr:rowOff>
    </xdr:to>
    <xdr:pic>
      <xdr:nvPicPr>
        <xdr:cNvPr id="51" name="Graphic 50" descr="Users with solid fill">
          <a:extLst>
            <a:ext uri="{FF2B5EF4-FFF2-40B4-BE49-F238E27FC236}">
              <a16:creationId xmlns:a16="http://schemas.microsoft.com/office/drawing/2014/main" id="{926628A5-94F7-CA0E-5A95-0388887D7023}"/>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1412877" y="2191820"/>
          <a:ext cx="222606" cy="222606"/>
        </a:xfrm>
        <a:prstGeom prst="rect">
          <a:avLst/>
        </a:prstGeom>
      </xdr:spPr>
    </xdr:pic>
    <xdr:clientData/>
  </xdr:twoCellAnchor>
  <xdr:twoCellAnchor>
    <xdr:from>
      <xdr:col>18</xdr:col>
      <xdr:colOff>85618</xdr:colOff>
      <xdr:row>9</xdr:row>
      <xdr:rowOff>119865</xdr:rowOff>
    </xdr:from>
    <xdr:to>
      <xdr:col>22</xdr:col>
      <xdr:colOff>847623</xdr:colOff>
      <xdr:row>11</xdr:row>
      <xdr:rowOff>17123</xdr:rowOff>
    </xdr:to>
    <xdr:graphicFrame macro="">
      <xdr:nvGraphicFramePr>
        <xdr:cNvPr id="56" name="Chart 55">
          <a:extLst>
            <a:ext uri="{FF2B5EF4-FFF2-40B4-BE49-F238E27FC236}">
              <a16:creationId xmlns:a16="http://schemas.microsoft.com/office/drawing/2014/main" id="{DF50BCB4-04E7-4E3F-AAB3-4B5FCD1CBB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13</xdr:col>
      <xdr:colOff>42808</xdr:colOff>
      <xdr:row>16</xdr:row>
      <xdr:rowOff>102743</xdr:rowOff>
    </xdr:from>
    <xdr:to>
      <xdr:col>18</xdr:col>
      <xdr:colOff>393842</xdr:colOff>
      <xdr:row>30</xdr:row>
      <xdr:rowOff>34247</xdr:rowOff>
    </xdr:to>
    <xdr:graphicFrame macro="">
      <xdr:nvGraphicFramePr>
        <xdr:cNvPr id="10" name="Chart 9">
          <a:extLst>
            <a:ext uri="{FF2B5EF4-FFF2-40B4-BE49-F238E27FC236}">
              <a16:creationId xmlns:a16="http://schemas.microsoft.com/office/drawing/2014/main" id="{D71005A0-E79F-45E7-9F76-6B3C7D505D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18</xdr:col>
      <xdr:colOff>94179</xdr:colOff>
      <xdr:row>9</xdr:row>
      <xdr:rowOff>68494</xdr:rowOff>
    </xdr:from>
    <xdr:to>
      <xdr:col>23</xdr:col>
      <xdr:colOff>59932</xdr:colOff>
      <xdr:row>11</xdr:row>
      <xdr:rowOff>8562</xdr:rowOff>
    </xdr:to>
    <xdr:graphicFrame macro="">
      <xdr:nvGraphicFramePr>
        <xdr:cNvPr id="26" name="Chart 25">
          <a:extLst>
            <a:ext uri="{FF2B5EF4-FFF2-40B4-BE49-F238E27FC236}">
              <a16:creationId xmlns:a16="http://schemas.microsoft.com/office/drawing/2014/main" id="{4FD08BF3-9261-4FE7-A850-2308E1271F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u" refreshedDate="46103.713532060188" createdVersion="8" refreshedVersion="8" minRefreshableVersion="3" recordCount="200" xr:uid="{DAD2B649-855B-4A98-A827-03172A422AE1}">
  <cacheSource type="worksheet">
    <worksheetSource ref="A1:M201" sheet="Dataset"/>
  </cacheSource>
  <cacheFields count="13">
    <cacheField name="Customer_ID" numFmtId="0">
      <sharedItems/>
    </cacheField>
    <cacheField name="Customer_Name" numFmtId="0">
      <sharedItems count="27">
        <s v="James Davis"/>
        <s v="Robert Anderson"/>
        <s v="James Taylor"/>
        <s v="James Wilson"/>
        <s v="Michael Anderson"/>
        <s v="Linda Wilson"/>
        <s v="Mary Davis"/>
        <s v="Linda Jackson"/>
        <s v="David Thomas"/>
        <s v="Emma Davis"/>
        <s v="David Smith"/>
        <s v="Sarah Anderson"/>
        <s v="Lisa Thomas"/>
        <s v="Mary Jackson"/>
        <s v="Lisa Davis"/>
        <s v="Linda Brown"/>
        <s v="John Brown"/>
        <s v="Linda Taylor"/>
        <s v="David Brown"/>
        <s v="David Davis"/>
        <s v="Mary Wilson"/>
        <s v="Emma Wilson"/>
        <s v="Linda Davis"/>
        <s v="Sarah Davis"/>
        <s v="Emma Taylor"/>
        <s v="Linda Moore"/>
        <s v="David Anderson"/>
      </sharedItems>
    </cacheField>
    <cacheField name="Region" numFmtId="0">
      <sharedItems count="5">
        <s v="West"/>
        <s v="East"/>
        <s v="South"/>
        <s v="North"/>
        <s v="Central"/>
      </sharedItems>
    </cacheField>
    <cacheField name="Product_Category" numFmtId="0">
      <sharedItems count="5">
        <s v="Books"/>
        <s v="Clothing"/>
        <s v="Electronics"/>
        <s v="Furniture"/>
        <s v="Office Supplies"/>
      </sharedItems>
    </cacheField>
    <cacheField name="Sales" numFmtId="0">
      <sharedItems containsSemiMixedTypes="0" containsString="0" containsNumber="1" minValue="258.51" maxValue="1923.66" count="200">
        <n v="1036.0899999999999"/>
        <n v="1101.28"/>
        <n v="713.34"/>
        <n v="760.93"/>
        <n v="847"/>
        <n v="965.64"/>
        <n v="1317.53"/>
        <n v="1074.47"/>
        <n v="501.54"/>
        <n v="737.31"/>
        <n v="1572.82"/>
        <n v="1343.13"/>
        <n v="1191.58"/>
        <n v="822.28"/>
        <n v="521.66999999999996"/>
        <n v="1502.93"/>
        <n v="877.58"/>
        <n v="636.70000000000005"/>
        <n v="1506.14"/>
        <n v="645.02"/>
        <n v="953.3"/>
        <n v="388.56"/>
        <n v="743.17"/>
        <n v="706.37"/>
        <n v="925.31"/>
        <n v="1173.1199999999999"/>
        <n v="675.54"/>
        <n v="939.09"/>
        <n v="983.34"/>
        <n v="801.21"/>
        <n v="1450.71"/>
        <n v="1023.21"/>
        <n v="853.72"/>
        <n v="967.89"/>
        <n v="1200.9000000000001"/>
        <n v="472.38"/>
        <n v="840.92"/>
        <n v="1410.06"/>
        <n v="773.09"/>
        <n v="580.42999999999995"/>
        <n v="1151.21"/>
        <n v="1025.98"/>
        <n v="556.41999999999996"/>
        <n v="840.85"/>
        <n v="1227.25"/>
        <n v="856.7"/>
        <n v="1225.42"/>
        <n v="1001.57"/>
        <n v="1186.8499999999999"/>
        <n v="775.45"/>
        <n v="1021.47"/>
        <n v="1226.6199999999999"/>
        <n v="1086.93"/>
        <n v="942.9"/>
        <n v="818.8"/>
        <n v="919.04"/>
        <n v="973.26"/>
        <n v="741.61"/>
        <n v="1248.82"/>
        <n v="1360.36"/>
        <n v="1383.3"/>
        <n v="488.99"/>
        <n v="933.71"/>
        <n v="1005.53"/>
        <n v="1100.0999999999999"/>
        <n v="1034.7"/>
        <n v="876.44"/>
        <n v="1371.34"/>
        <n v="1020.26"/>
        <n v="804.81"/>
        <n v="608.66"/>
        <n v="981.2"/>
        <n v="539.77"/>
        <n v="804.45"/>
        <n v="1526.6"/>
        <n v="1215.26"/>
        <n v="1261.3399999999999"/>
        <n v="518.07000000000005"/>
        <n v="1111.3399999999999"/>
        <n v="1291.47"/>
        <n v="679.71"/>
        <n v="1143.69"/>
        <n v="790.08"/>
        <n v="1070.68"/>
        <n v="1168.8900000000001"/>
        <n v="1335.87"/>
        <n v="873.7"/>
        <n v="1443.98"/>
        <n v="1154.33"/>
        <n v="1264.49"/>
        <n v="1101.55"/>
        <n v="727.73"/>
        <n v="875.41"/>
        <n v="1158.94"/>
        <n v="966.3"/>
        <n v="917.48"/>
        <n v="1172.97"/>
        <n v="1205.82"/>
        <n v="826.93"/>
        <n v="902.19"/>
        <n v="585.97"/>
        <n v="990.19"/>
        <n v="1014.09"/>
        <n v="925.29"/>
        <n v="1286.54"/>
        <n v="961.62"/>
        <n v="1081.1400000000001"/>
        <n v="1923.66"/>
        <n v="728.71"/>
        <n v="1301.8900000000001"/>
        <n v="980.18"/>
        <n v="697.57"/>
        <n v="1193.6099999999999"/>
        <n v="771.02"/>
        <n v="661.09"/>
        <n v="688.83"/>
        <n v="1249.0999999999999"/>
        <n v="1014.22"/>
        <n v="1010.58"/>
        <n v="957.29"/>
        <n v="1077.92"/>
        <n v="1163.01"/>
        <n v="1014.56"/>
        <n v="718.04"/>
        <n v="1277.8499999999999"/>
        <n v="706.73"/>
        <n v="1410.59"/>
        <n v="1350.33"/>
        <n v="919.18"/>
        <n v="258.51"/>
        <n v="1213.48"/>
        <n v="1150.28"/>
        <n v="853.86"/>
        <n v="1061.04"/>
        <n v="894.55"/>
        <n v="833.91"/>
        <n v="820.19"/>
        <n v="511.74"/>
        <n v="806.03"/>
        <n v="1432.47"/>
        <n v="1488.58"/>
        <n v="1231.26"/>
        <n v="1161.67"/>
        <n v="388.23"/>
        <n v="1589.42"/>
        <n v="336.66"/>
        <n v="1353.79"/>
        <n v="662.61"/>
        <n v="309.42"/>
        <n v="884.63"/>
        <n v="745.05"/>
        <n v="870.23"/>
        <n v="862.19"/>
        <n v="1171.18"/>
        <n v="1054.56"/>
        <n v="1681.21"/>
        <n v="379.77"/>
        <n v="1076.33"/>
        <n v="1250.71"/>
        <n v="1118.3399999999999"/>
        <n v="1622.62"/>
        <n v="640.64"/>
        <n v="585.16"/>
        <n v="1109.98"/>
        <n v="1098.08"/>
        <n v="827.25"/>
        <n v="741.88"/>
        <n v="1311.26"/>
        <n v="573.32000000000005"/>
        <n v="1115.22"/>
        <n v="845.84"/>
        <n v="1029.8"/>
        <n v="1189.83"/>
        <n v="704.28"/>
        <n v="1618.22"/>
        <n v="1014.43"/>
        <n v="826.97"/>
        <n v="1022.23"/>
        <n v="1099.69"/>
        <n v="710.52"/>
        <n v="499.18"/>
        <n v="1064.19"/>
        <n v="438.76"/>
        <n v="864.98"/>
        <n v="984.93"/>
        <n v="1493.49"/>
        <n v="689.43"/>
        <n v="682.24"/>
        <n v="458.54"/>
        <n v="1184.25"/>
        <n v="762.14"/>
        <n v="750.71"/>
        <n v="1456.94"/>
        <n v="1093.3800000000001"/>
        <n v="934.27"/>
        <n v="1465.35"/>
        <n v="740.8"/>
        <n v="545.44000000000005"/>
        <n v="997.61"/>
        <n v="928.32"/>
      </sharedItems>
    </cacheField>
    <cacheField name="Quantity" numFmtId="0">
      <sharedItems containsSemiMixedTypes="0" containsString="0" containsNumber="1" containsInteger="1" minValue="1" maxValue="19"/>
    </cacheField>
    <cacheField name="Discount" numFmtId="9">
      <sharedItems containsSemiMixedTypes="0" containsString="0" containsNumber="1" minValue="0" maxValue="0.2" count="5">
        <n v="0.2"/>
        <n v="0"/>
        <n v="0.15"/>
        <n v="0.1"/>
        <n v="0.05"/>
      </sharedItems>
    </cacheField>
    <cacheField name="Order_Date" numFmtId="164">
      <sharedItems containsSemiMixedTypes="0" containsNonDate="0" containsDate="1" containsString="0" minDate="2024-04-10T00:00:00" maxDate="2025-04-08T00:00:00" count="148">
        <d v="2024-04-10T00:00:00"/>
        <d v="2024-04-11T00:00:00"/>
        <d v="2024-04-14T00:00:00"/>
        <d v="2024-04-15T00:00:00"/>
        <d v="2024-04-16T00:00:00"/>
        <d v="2024-04-19T00:00:00"/>
        <d v="2024-04-20T00:00:00"/>
        <d v="2024-04-22T00:00:00"/>
        <d v="2024-04-24T00:00:00"/>
        <d v="2024-04-27T00:00:00"/>
        <d v="2024-04-28T00:00:00"/>
        <d v="2024-04-29T00:00:00"/>
        <d v="2024-04-30T00:00:00"/>
        <d v="2024-05-02T00:00:00"/>
        <d v="2024-05-03T00:00:00"/>
        <d v="2024-05-04T00:00:00"/>
        <d v="2024-05-06T00:00:00"/>
        <d v="2024-05-08T00:00:00"/>
        <d v="2024-05-10T00:00:00"/>
        <d v="2024-05-14T00:00:00"/>
        <d v="2024-05-15T00:00:00"/>
        <d v="2024-05-16T00:00:00"/>
        <d v="2024-05-17T00:00:00"/>
        <d v="2024-05-22T00:00:00"/>
        <d v="2024-05-23T00:00:00"/>
        <d v="2024-06-02T00:00:00"/>
        <d v="2024-06-04T00:00:00"/>
        <d v="2024-06-05T00:00:00"/>
        <d v="2024-06-06T00:00:00"/>
        <d v="2024-06-07T00:00:00"/>
        <d v="2024-06-08T00:00:00"/>
        <d v="2024-06-14T00:00:00"/>
        <d v="2024-06-18T00:00:00"/>
        <d v="2024-06-20T00:00:00"/>
        <d v="2024-06-21T00:00:00"/>
        <d v="2024-06-23T00:00:00"/>
        <d v="2024-06-25T00:00:00"/>
        <d v="2024-06-27T00:00:00"/>
        <d v="2024-06-28T00:00:00"/>
        <d v="2024-06-30T00:00:00"/>
        <d v="2024-07-05T00:00:00"/>
        <d v="2024-07-06T00:00:00"/>
        <d v="2024-07-08T00:00:00"/>
        <d v="2024-07-09T00:00:00"/>
        <d v="2024-07-14T00:00:00"/>
        <d v="2024-07-15T00:00:00"/>
        <d v="2024-07-21T00:00:00"/>
        <d v="2024-07-29T00:00:00"/>
        <d v="2024-07-30T00:00:00"/>
        <d v="2024-07-31T00:00:00"/>
        <d v="2024-08-05T00:00:00"/>
        <d v="2024-08-08T00:00:00"/>
        <d v="2024-08-09T00:00:00"/>
        <d v="2024-08-15T00:00:00"/>
        <d v="2024-08-18T00:00:00"/>
        <d v="2024-08-19T00:00:00"/>
        <d v="2024-08-22T00:00:00"/>
        <d v="2024-08-30T00:00:00"/>
        <d v="2024-09-01T00:00:00"/>
        <d v="2024-09-09T00:00:00"/>
        <d v="2024-09-11T00:00:00"/>
        <d v="2024-09-12T00:00:00"/>
        <d v="2024-09-14T00:00:00"/>
        <d v="2024-09-16T00:00:00"/>
        <d v="2024-09-17T00:00:00"/>
        <d v="2024-09-18T00:00:00"/>
        <d v="2024-09-22T00:00:00"/>
        <d v="2024-09-23T00:00:00"/>
        <d v="2024-09-24T00:00:00"/>
        <d v="2024-09-29T00:00:00"/>
        <d v="2024-09-30T00:00:00"/>
        <d v="2024-10-02T00:00:00"/>
        <d v="2024-10-05T00:00:00"/>
        <d v="2024-10-10T00:00:00"/>
        <d v="2024-10-12T00:00:00"/>
        <d v="2024-10-15T00:00:00"/>
        <d v="2024-10-16T00:00:00"/>
        <d v="2024-10-17T00:00:00"/>
        <d v="2024-10-19T00:00:00"/>
        <d v="2024-10-20T00:00:00"/>
        <d v="2024-10-28T00:00:00"/>
        <d v="2024-10-30T00:00:00"/>
        <d v="2024-11-01T00:00:00"/>
        <d v="2024-11-03T00:00:00"/>
        <d v="2024-11-09T00:00:00"/>
        <d v="2024-11-12T00:00:00"/>
        <d v="2024-11-15T00:00:00"/>
        <d v="2024-11-16T00:00:00"/>
        <d v="2024-11-17T00:00:00"/>
        <d v="2024-11-19T00:00:00"/>
        <d v="2024-11-20T00:00:00"/>
        <d v="2024-11-26T00:00:00"/>
        <d v="2024-11-28T00:00:00"/>
        <d v="2024-11-29T00:00:00"/>
        <d v="2024-11-30T00:00:00"/>
        <d v="2024-12-04T00:00:00"/>
        <d v="2024-12-05T00:00:00"/>
        <d v="2024-12-12T00:00:00"/>
        <d v="2024-12-14T00:00:00"/>
        <d v="2024-12-20T00:00:00"/>
        <d v="2024-12-21T00:00:00"/>
        <d v="2024-12-24T00:00:00"/>
        <d v="2024-12-25T00:00:00"/>
        <d v="2024-12-30T00:00:00"/>
        <d v="2025-01-01T00:00:00"/>
        <d v="2025-01-02T00:00:00"/>
        <d v="2025-01-03T00:00:00"/>
        <d v="2025-01-06T00:00:00"/>
        <d v="2025-01-10T00:00:00"/>
        <d v="2025-01-12T00:00:00"/>
        <d v="2025-01-13T00:00:00"/>
        <d v="2025-01-16T00:00:00"/>
        <d v="2025-01-17T00:00:00"/>
        <d v="2025-01-20T00:00:00"/>
        <d v="2025-01-21T00:00:00"/>
        <d v="2025-01-27T00:00:00"/>
        <d v="2025-02-02T00:00:00"/>
        <d v="2025-02-04T00:00:00"/>
        <d v="2025-02-05T00:00:00"/>
        <d v="2025-02-07T00:00:00"/>
        <d v="2025-02-10T00:00:00"/>
        <d v="2025-02-15T00:00:00"/>
        <d v="2025-02-17T00:00:00"/>
        <d v="2025-02-19T00:00:00"/>
        <d v="2025-02-20T00:00:00"/>
        <d v="2025-02-21T00:00:00"/>
        <d v="2025-02-24T00:00:00"/>
        <d v="2025-02-25T00:00:00"/>
        <d v="2025-02-27T00:00:00"/>
        <d v="2025-03-01T00:00:00"/>
        <d v="2025-03-02T00:00:00"/>
        <d v="2025-03-05T00:00:00"/>
        <d v="2025-03-08T00:00:00"/>
        <d v="2025-03-09T00:00:00"/>
        <d v="2025-03-10T00:00:00"/>
        <d v="2025-03-11T00:00:00"/>
        <d v="2025-03-17T00:00:00"/>
        <d v="2025-03-18T00:00:00"/>
        <d v="2025-03-20T00:00:00"/>
        <d v="2025-03-22T00:00:00"/>
        <d v="2025-03-25T00:00:00"/>
        <d v="2025-03-26T00:00:00"/>
        <d v="2025-03-27T00:00:00"/>
        <d v="2025-03-29T00:00:00"/>
        <d v="2025-03-30T00:00:00"/>
        <d v="2025-04-02T00:00:00"/>
        <d v="2025-04-05T00:00:00"/>
        <d v="2025-04-07T00:00:00"/>
      </sharedItems>
      <fieldGroup par="12"/>
    </cacheField>
    <cacheField name="Profit" numFmtId="0">
      <sharedItems containsSemiMixedTypes="0" containsString="0" containsNumber="1" minValue="64.63" maxValue="769.46" count="200">
        <n v="331.55"/>
        <n v="440.51"/>
        <n v="285.33999999999997"/>
        <n v="161.69999999999999"/>
        <n v="271.04000000000002"/>
        <n v="304.18"/>
        <n v="312.91000000000003"/>
        <n v="300.85000000000002"/>
        <n v="190.59"/>
        <n v="350.22"/>
        <n v="672.38"/>
        <n v="456.66"/>
        <n v="452.8"/>
        <n v="273.41000000000003"/>
        <n v="155.19999999999999"/>
        <n v="300.58999999999997"/>
        <n v="298.38"/>
        <n v="203.74"/>
        <n v="481.96"/>
        <n v="161.26"/>
        <n v="476.65"/>
        <n v="82.57"/>
        <n v="297.27"/>
        <n v="176.59"/>
        <n v="374.75"/>
        <n v="293.27999999999997"/>
        <n v="236.44"/>
        <n v="356.85"/>
        <n v="398.25"/>
        <n v="160.24"/>
        <n v="326.41000000000003"/>
        <n v="388.82"/>
        <n v="253.98"/>
        <n v="217.78"/>
        <n v="513.38"/>
        <n v="151.16"/>
        <n v="359.49"/>
        <n v="468.84"/>
        <n v="229.99"/>
        <n v="197.35"/>
        <n v="414.44"/>
        <n v="369.35"/>
        <n v="212.83"/>
        <n v="302.70999999999998"/>
        <n v="365.11"/>
        <n v="214.18"/>
        <n v="468.72"/>
        <n v="450.71"/>
        <n v="332.32"/>
        <n v="174.48"/>
        <n v="242.6"/>
        <n v="551.98"/>
        <n v="380.43"/>
        <n v="339.44"/>
        <n v="173.99"/>
        <n v="257.33"/>
        <n v="389.3"/>
        <n v="148.32"/>
        <n v="449.58"/>
        <n v="680.18"/>
        <n v="497.99"/>
        <n v="220.05"/>
        <n v="294.12"/>
        <n v="201.11"/>
        <n v="261.27"/>
        <n v="307.82"/>
        <n v="333.05"/>
        <n v="455.97"/>
        <n v="242.31"/>
        <n v="344.06"/>
        <n v="144.56"/>
        <n v="441.54"/>
        <n v="114.7"/>
        <n v="257.42"/>
        <n v="305.32"/>
        <n v="258.24"/>
        <n v="441.47"/>
        <n v="172.26"/>
        <n v="500.1"/>
        <n v="581.16"/>
        <n v="271.88"/>
        <n v="400.29"/>
        <n v="177.77"/>
        <n v="406.86"/>
        <n v="526"/>
        <n v="333.97"/>
        <n v="305.8"/>
        <n v="649.79"/>
        <n v="441.53"/>
        <n v="480.51"/>
        <n v="346.99"/>
        <n v="229.23"/>
        <n v="334.84"/>
        <n v="231.79"/>
        <n v="328.54"/>
        <n v="366.99"/>
        <n v="348.96"/>
        <n v="542.62"/>
        <n v="297.69"/>
        <n v="451.1"/>
        <n v="210.95"/>
        <n v="445.59"/>
        <n v="202.82"/>
        <n v="231.32"/>
        <n v="450.29"/>
        <n v="307.72000000000003"/>
        <n v="367.59"/>
        <n v="769.46"/>
        <n v="327.92"/>
        <n v="553.29999999999995"/>
        <n v="352.86"/>
        <n v="313.91000000000003"/>
        <n v="355.1"/>
        <n v="192.76"/>
        <n v="264.44"/>
        <n v="172.21"/>
        <n v="474.66"/>
        <n v="433.58"/>
        <n v="343.6"/>
        <n v="318.3"/>
        <n v="358.41"/>
        <n v="581.5"/>
        <n v="410.9"/>
        <n v="179.51"/>
        <n v="511.14"/>
        <n v="150.18"/>
        <n v="352.65"/>
        <n v="472.62"/>
        <n v="195.33"/>
        <n v="64.63"/>
        <n v="461.12"/>
        <n v="437.11"/>
        <n v="268.97000000000003"/>
        <n v="265.26"/>
        <n v="178.91"/>
        <n v="356.5"/>
        <n v="229.65"/>
        <n v="121.54"/>
        <n v="268"/>
        <n v="426.16"/>
        <n v="316.32"/>
        <n v="492.5"/>
        <n v="232.33"/>
        <n v="165.97"/>
        <n v="675.5"/>
        <n v="134.66"/>
        <n v="487.36"/>
        <n v="314.74"/>
        <n v="111.39"/>
        <n v="318.47000000000003"/>
        <n v="301.75"/>
        <n v="413.36"/>
        <n v="286.68"/>
        <n v="556.30999999999995"/>
        <n v="332.19"/>
        <n v="336.24"/>
        <n v="180.39"/>
        <n v="484.35"/>
        <n v="562.82000000000005"/>
        <n v="447.34"/>
        <n v="649.04999999999995"/>
        <n v="205"/>
        <n v="263.32"/>
        <n v="443.99"/>
        <n v="395.31"/>
        <n v="335.04"/>
        <n v="333.85"/>
        <n v="531.05999999999995"/>
        <n v="232.19"/>
        <n v="223.04"/>
        <n v="422.92"/>
        <n v="257.45"/>
        <n v="380.75"/>
        <n v="225.37"/>
        <n v="582.55999999999995"/>
        <n v="344.91"/>
        <n v="330.79"/>
        <n v="460"/>
        <n v="439.88"/>
        <n v="255.79"/>
        <n v="159.74"/>
        <n v="404.39"/>
        <n v="187.57"/>
        <n v="410.87"/>
        <n v="275.77999999999997"/>
        <n v="746.74"/>
        <n v="310.24"/>
        <n v="341.12"/>
        <n v="91.71"/>
        <n v="331.59"/>
        <n v="381.07"/>
        <n v="255.24"/>
        <n v="692.05"/>
        <n v="344.41"/>
        <n v="397.06"/>
        <n v="586.14"/>
        <n v="333.36"/>
        <n v="245.45"/>
        <n v="379.09"/>
        <n v="440.95"/>
      </sharedItems>
    </cacheField>
    <cacheField name="Total  Purchase" numFmtId="2">
      <sharedItems containsSemiMixedTypes="0" containsString="0" containsNumber="1" minValue="247.53600000000003" maxValue="27435.62"/>
    </cacheField>
    <cacheField name="Timestamp" numFmtId="22">
      <sharedItems containsSemiMixedTypes="0" containsNonDate="0" containsDate="1" containsString="0" minDate="2026-03-22T17:05:49" maxDate="2026-03-22T17:05:49" count="1">
        <d v="2026-03-22T17:05:49"/>
      </sharedItems>
    </cacheField>
    <cacheField name="Months (Order_Date)" numFmtId="0" databaseField="0">
      <fieldGroup base="7">
        <rangePr groupBy="months" startDate="2024-04-10T00:00:00" endDate="2025-04-08T00:00:00"/>
        <groupItems count="14">
          <s v="&lt;10-04-24"/>
          <s v="Jan"/>
          <s v="Feb"/>
          <s v="Mar"/>
          <s v="Apr"/>
          <s v="May"/>
          <s v="Jun"/>
          <s v="Jul"/>
          <s v="Aug"/>
          <s v="Sep"/>
          <s v="Oct"/>
          <s v="Nov"/>
          <s v="Dec"/>
          <s v="&gt;08-04-25"/>
        </groupItems>
      </fieldGroup>
    </cacheField>
    <cacheField name="Years (Order_Date)" numFmtId="0" databaseField="0">
      <fieldGroup base="7">
        <rangePr groupBy="years" startDate="2024-04-10T00:00:00" endDate="2025-04-08T00:00:00"/>
        <groupItems count="4">
          <s v="&lt;10-04-24"/>
          <s v="2024"/>
          <s v="2025"/>
          <s v="&gt;08-04-25"/>
        </groupItems>
      </fieldGroup>
    </cacheField>
  </cacheFields>
  <extLst>
    <ext xmlns:x14="http://schemas.microsoft.com/office/spreadsheetml/2009/9/main" uri="{725AE2AE-9491-48be-B2B4-4EB974FC3084}">
      <x14:pivotCacheDefinition pivotCacheId="16068742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UST019"/>
    <x v="0"/>
    <x v="0"/>
    <x v="0"/>
    <x v="0"/>
    <n v="4"/>
    <x v="0"/>
    <x v="0"/>
    <x v="0"/>
    <n v="3315.4879999999998"/>
    <x v="0"/>
  </r>
  <r>
    <s v="CUST012"/>
    <x v="1"/>
    <x v="0"/>
    <x v="1"/>
    <x v="1"/>
    <n v="3"/>
    <x v="0"/>
    <x v="1"/>
    <x v="1"/>
    <n v="2643.0720000000001"/>
    <x v="0"/>
  </r>
  <r>
    <s v="CUST017"/>
    <x v="2"/>
    <x v="1"/>
    <x v="0"/>
    <x v="2"/>
    <n v="17"/>
    <x v="1"/>
    <x v="2"/>
    <x v="2"/>
    <n v="12126.78"/>
    <x v="0"/>
  </r>
  <r>
    <s v="CUST005"/>
    <x v="1"/>
    <x v="2"/>
    <x v="2"/>
    <x v="3"/>
    <n v="4"/>
    <x v="2"/>
    <x v="2"/>
    <x v="3"/>
    <n v="2587.1619999999998"/>
    <x v="0"/>
  </r>
  <r>
    <s v="CUST030"/>
    <x v="3"/>
    <x v="3"/>
    <x v="0"/>
    <x v="4"/>
    <n v="12"/>
    <x v="0"/>
    <x v="3"/>
    <x v="4"/>
    <n v="8131.2000000000007"/>
    <x v="0"/>
  </r>
  <r>
    <s v="CUST007"/>
    <x v="4"/>
    <x v="3"/>
    <x v="3"/>
    <x v="5"/>
    <n v="8"/>
    <x v="3"/>
    <x v="4"/>
    <x v="5"/>
    <n v="6952.6080000000002"/>
    <x v="0"/>
  </r>
  <r>
    <s v="CUST001"/>
    <x v="5"/>
    <x v="0"/>
    <x v="2"/>
    <x v="6"/>
    <n v="12"/>
    <x v="4"/>
    <x v="4"/>
    <x v="6"/>
    <n v="15019.842000000001"/>
    <x v="0"/>
  </r>
  <r>
    <s v="CUST026"/>
    <x v="6"/>
    <x v="1"/>
    <x v="3"/>
    <x v="7"/>
    <n v="6"/>
    <x v="0"/>
    <x v="5"/>
    <x v="7"/>
    <n v="5157.4560000000001"/>
    <x v="0"/>
  </r>
  <r>
    <s v="CUST009"/>
    <x v="7"/>
    <x v="4"/>
    <x v="0"/>
    <x v="8"/>
    <n v="11"/>
    <x v="4"/>
    <x v="5"/>
    <x v="8"/>
    <n v="5241.0929999999998"/>
    <x v="0"/>
  </r>
  <r>
    <s v="CUST010"/>
    <x v="8"/>
    <x v="4"/>
    <x v="1"/>
    <x v="9"/>
    <n v="2"/>
    <x v="4"/>
    <x v="5"/>
    <x v="9"/>
    <n v="1400.8889999999999"/>
    <x v="0"/>
  </r>
  <r>
    <s v="CUST014"/>
    <x v="9"/>
    <x v="0"/>
    <x v="4"/>
    <x v="10"/>
    <n v="6"/>
    <x v="4"/>
    <x v="6"/>
    <x v="10"/>
    <n v="8965.0740000000005"/>
    <x v="0"/>
  </r>
  <r>
    <s v="CUST014"/>
    <x v="8"/>
    <x v="4"/>
    <x v="0"/>
    <x v="11"/>
    <n v="14"/>
    <x v="2"/>
    <x v="7"/>
    <x v="11"/>
    <n v="15983.246999999999"/>
    <x v="0"/>
  </r>
  <r>
    <s v="CUST007"/>
    <x v="4"/>
    <x v="4"/>
    <x v="0"/>
    <x v="12"/>
    <n v="14"/>
    <x v="4"/>
    <x v="8"/>
    <x v="12"/>
    <n v="15848.013999999997"/>
    <x v="0"/>
  </r>
  <r>
    <s v="CUST023"/>
    <x v="1"/>
    <x v="0"/>
    <x v="3"/>
    <x v="13"/>
    <n v="7"/>
    <x v="4"/>
    <x v="8"/>
    <x v="13"/>
    <n v="5468.1619999999994"/>
    <x v="0"/>
  </r>
  <r>
    <s v="CUST029"/>
    <x v="10"/>
    <x v="3"/>
    <x v="3"/>
    <x v="14"/>
    <n v="15"/>
    <x v="2"/>
    <x v="9"/>
    <x v="14"/>
    <n v="6651.2924999999996"/>
    <x v="0"/>
  </r>
  <r>
    <s v="CUST005"/>
    <x v="11"/>
    <x v="2"/>
    <x v="2"/>
    <x v="15"/>
    <n v="14"/>
    <x v="0"/>
    <x v="10"/>
    <x v="15"/>
    <n v="16832.816000000003"/>
    <x v="0"/>
  </r>
  <r>
    <s v="CUST008"/>
    <x v="1"/>
    <x v="2"/>
    <x v="0"/>
    <x v="16"/>
    <n v="10"/>
    <x v="2"/>
    <x v="11"/>
    <x v="16"/>
    <n v="7459.43"/>
    <x v="0"/>
  </r>
  <r>
    <s v="CUST001"/>
    <x v="12"/>
    <x v="0"/>
    <x v="0"/>
    <x v="17"/>
    <n v="4"/>
    <x v="0"/>
    <x v="11"/>
    <x v="17"/>
    <n v="2037.4400000000003"/>
    <x v="0"/>
  </r>
  <r>
    <s v="CUST006"/>
    <x v="13"/>
    <x v="0"/>
    <x v="0"/>
    <x v="18"/>
    <n v="13"/>
    <x v="0"/>
    <x v="12"/>
    <x v="18"/>
    <n v="15663.856"/>
    <x v="0"/>
  </r>
  <r>
    <s v="CUST026"/>
    <x v="6"/>
    <x v="4"/>
    <x v="2"/>
    <x v="19"/>
    <n v="4"/>
    <x v="1"/>
    <x v="13"/>
    <x v="19"/>
    <n v="2580.08"/>
    <x v="0"/>
  </r>
  <r>
    <s v="CUST007"/>
    <x v="14"/>
    <x v="2"/>
    <x v="1"/>
    <x v="20"/>
    <n v="11"/>
    <x v="1"/>
    <x v="14"/>
    <x v="20"/>
    <n v="10486.3"/>
    <x v="0"/>
  </r>
  <r>
    <s v="CUST022"/>
    <x v="1"/>
    <x v="3"/>
    <x v="2"/>
    <x v="21"/>
    <n v="14"/>
    <x v="2"/>
    <x v="15"/>
    <x v="21"/>
    <n v="4623.8639999999996"/>
    <x v="0"/>
  </r>
  <r>
    <s v="CUST019"/>
    <x v="6"/>
    <x v="0"/>
    <x v="0"/>
    <x v="22"/>
    <n v="9"/>
    <x v="1"/>
    <x v="15"/>
    <x v="22"/>
    <n v="6688.53"/>
    <x v="0"/>
  </r>
  <r>
    <s v="CUST023"/>
    <x v="6"/>
    <x v="4"/>
    <x v="2"/>
    <x v="23"/>
    <n v="6"/>
    <x v="1"/>
    <x v="15"/>
    <x v="23"/>
    <n v="4238.22"/>
    <x v="0"/>
  </r>
  <r>
    <s v="CUST012"/>
    <x v="6"/>
    <x v="4"/>
    <x v="4"/>
    <x v="24"/>
    <n v="8"/>
    <x v="3"/>
    <x v="16"/>
    <x v="24"/>
    <n v="6662.232"/>
    <x v="0"/>
  </r>
  <r>
    <s v="CUST010"/>
    <x v="15"/>
    <x v="2"/>
    <x v="2"/>
    <x v="25"/>
    <n v="18"/>
    <x v="1"/>
    <x v="16"/>
    <x v="25"/>
    <n v="21116.159999999996"/>
    <x v="0"/>
  </r>
  <r>
    <s v="CUST030"/>
    <x v="16"/>
    <x v="3"/>
    <x v="3"/>
    <x v="26"/>
    <n v="17"/>
    <x v="1"/>
    <x v="17"/>
    <x v="26"/>
    <n v="11484.18"/>
    <x v="0"/>
  </r>
  <r>
    <s v="CUST007"/>
    <x v="1"/>
    <x v="4"/>
    <x v="0"/>
    <x v="27"/>
    <n v="2"/>
    <x v="4"/>
    <x v="18"/>
    <x v="27"/>
    <n v="1784.271"/>
    <x v="0"/>
  </r>
  <r>
    <s v="CUST028"/>
    <x v="17"/>
    <x v="1"/>
    <x v="4"/>
    <x v="28"/>
    <n v="19"/>
    <x v="3"/>
    <x v="19"/>
    <x v="28"/>
    <n v="16815.114000000001"/>
    <x v="0"/>
  </r>
  <r>
    <s v="CUST028"/>
    <x v="3"/>
    <x v="2"/>
    <x v="2"/>
    <x v="29"/>
    <n v="3"/>
    <x v="0"/>
    <x v="19"/>
    <x v="29"/>
    <n v="1922.9040000000002"/>
    <x v="0"/>
  </r>
  <r>
    <s v="CUST025"/>
    <x v="18"/>
    <x v="3"/>
    <x v="2"/>
    <x v="30"/>
    <n v="5"/>
    <x v="3"/>
    <x v="20"/>
    <x v="30"/>
    <n v="6528.1950000000006"/>
    <x v="0"/>
  </r>
  <r>
    <s v="CUST022"/>
    <x v="19"/>
    <x v="4"/>
    <x v="0"/>
    <x v="31"/>
    <n v="18"/>
    <x v="4"/>
    <x v="21"/>
    <x v="31"/>
    <n v="17496.891"/>
    <x v="0"/>
  </r>
  <r>
    <s v="CUST001"/>
    <x v="13"/>
    <x v="0"/>
    <x v="3"/>
    <x v="32"/>
    <n v="5"/>
    <x v="2"/>
    <x v="21"/>
    <x v="32"/>
    <n v="3628.3100000000004"/>
    <x v="0"/>
  </r>
  <r>
    <s v="CUST021"/>
    <x v="11"/>
    <x v="2"/>
    <x v="2"/>
    <x v="33"/>
    <n v="10"/>
    <x v="3"/>
    <x v="22"/>
    <x v="33"/>
    <n v="8711.01"/>
    <x v="0"/>
  </r>
  <r>
    <s v="CUST015"/>
    <x v="17"/>
    <x v="3"/>
    <x v="4"/>
    <x v="34"/>
    <n v="14"/>
    <x v="4"/>
    <x v="22"/>
    <x v="34"/>
    <n v="15971.970000000001"/>
    <x v="0"/>
  </r>
  <r>
    <s v="CUST012"/>
    <x v="4"/>
    <x v="0"/>
    <x v="0"/>
    <x v="35"/>
    <n v="12"/>
    <x v="0"/>
    <x v="22"/>
    <x v="35"/>
    <n v="4534.848"/>
    <x v="0"/>
  </r>
  <r>
    <s v="CUST019"/>
    <x v="18"/>
    <x v="1"/>
    <x v="4"/>
    <x v="36"/>
    <n v="9"/>
    <x v="4"/>
    <x v="22"/>
    <x v="36"/>
    <n v="7189.8659999999991"/>
    <x v="0"/>
  </r>
  <r>
    <s v="CUST028"/>
    <x v="14"/>
    <x v="4"/>
    <x v="3"/>
    <x v="37"/>
    <n v="11"/>
    <x v="4"/>
    <x v="23"/>
    <x v="37"/>
    <n v="14735.126999999999"/>
    <x v="0"/>
  </r>
  <r>
    <s v="CUST008"/>
    <x v="20"/>
    <x v="4"/>
    <x v="3"/>
    <x v="38"/>
    <n v="13"/>
    <x v="2"/>
    <x v="23"/>
    <x v="38"/>
    <n v="8542.6445000000003"/>
    <x v="0"/>
  </r>
  <r>
    <s v="CUST016"/>
    <x v="21"/>
    <x v="1"/>
    <x v="0"/>
    <x v="39"/>
    <n v="19"/>
    <x v="2"/>
    <x v="24"/>
    <x v="39"/>
    <n v="9373.9444999999978"/>
    <x v="0"/>
  </r>
  <r>
    <s v="CUST005"/>
    <x v="10"/>
    <x v="2"/>
    <x v="0"/>
    <x v="40"/>
    <n v="15"/>
    <x v="3"/>
    <x v="25"/>
    <x v="40"/>
    <n v="15541.335000000001"/>
    <x v="0"/>
  </r>
  <r>
    <s v="CUST028"/>
    <x v="3"/>
    <x v="4"/>
    <x v="4"/>
    <x v="41"/>
    <n v="5"/>
    <x v="0"/>
    <x v="26"/>
    <x v="41"/>
    <n v="4103.92"/>
    <x v="0"/>
  </r>
  <r>
    <s v="CUST023"/>
    <x v="19"/>
    <x v="1"/>
    <x v="4"/>
    <x v="42"/>
    <n v="11"/>
    <x v="2"/>
    <x v="26"/>
    <x v="42"/>
    <n v="5202.527"/>
    <x v="0"/>
  </r>
  <r>
    <s v="CUST021"/>
    <x v="3"/>
    <x v="4"/>
    <x v="0"/>
    <x v="43"/>
    <n v="19"/>
    <x v="3"/>
    <x v="27"/>
    <x v="43"/>
    <n v="14378.535"/>
    <x v="0"/>
  </r>
  <r>
    <s v="CUST026"/>
    <x v="21"/>
    <x v="3"/>
    <x v="3"/>
    <x v="44"/>
    <n v="12"/>
    <x v="2"/>
    <x v="27"/>
    <x v="44"/>
    <n v="12517.949999999999"/>
    <x v="0"/>
  </r>
  <r>
    <s v="CUST017"/>
    <x v="22"/>
    <x v="4"/>
    <x v="2"/>
    <x v="45"/>
    <n v="2"/>
    <x v="1"/>
    <x v="28"/>
    <x v="45"/>
    <n v="1713.4"/>
    <x v="0"/>
  </r>
  <r>
    <s v="CUST025"/>
    <x v="19"/>
    <x v="4"/>
    <x v="4"/>
    <x v="46"/>
    <n v="8"/>
    <x v="2"/>
    <x v="28"/>
    <x v="46"/>
    <n v="8332.8559999999998"/>
    <x v="0"/>
  </r>
  <r>
    <s v="CUST011"/>
    <x v="6"/>
    <x v="3"/>
    <x v="4"/>
    <x v="47"/>
    <n v="12"/>
    <x v="1"/>
    <x v="29"/>
    <x v="47"/>
    <n v="12018.84"/>
    <x v="0"/>
  </r>
  <r>
    <s v="CUST021"/>
    <x v="4"/>
    <x v="1"/>
    <x v="3"/>
    <x v="48"/>
    <n v="19"/>
    <x v="0"/>
    <x v="30"/>
    <x v="48"/>
    <n v="18040.12"/>
    <x v="0"/>
  </r>
  <r>
    <s v="CUST008"/>
    <x v="16"/>
    <x v="2"/>
    <x v="2"/>
    <x v="49"/>
    <n v="6"/>
    <x v="3"/>
    <x v="31"/>
    <x v="49"/>
    <n v="4187.4300000000012"/>
    <x v="0"/>
  </r>
  <r>
    <s v="CUST007"/>
    <x v="7"/>
    <x v="2"/>
    <x v="2"/>
    <x v="50"/>
    <n v="6"/>
    <x v="4"/>
    <x v="32"/>
    <x v="50"/>
    <n v="5822.3789999999999"/>
    <x v="0"/>
  </r>
  <r>
    <s v="CUST015"/>
    <x v="3"/>
    <x v="2"/>
    <x v="1"/>
    <x v="51"/>
    <n v="7"/>
    <x v="3"/>
    <x v="33"/>
    <x v="51"/>
    <n v="7727.7060000000001"/>
    <x v="0"/>
  </r>
  <r>
    <s v="CUST030"/>
    <x v="23"/>
    <x v="2"/>
    <x v="3"/>
    <x v="52"/>
    <n v="2"/>
    <x v="1"/>
    <x v="34"/>
    <x v="52"/>
    <n v="2173.86"/>
    <x v="0"/>
  </r>
  <r>
    <s v="CUST002"/>
    <x v="14"/>
    <x v="0"/>
    <x v="0"/>
    <x v="53"/>
    <n v="18"/>
    <x v="3"/>
    <x v="35"/>
    <x v="53"/>
    <n v="15274.980000000001"/>
    <x v="0"/>
  </r>
  <r>
    <s v="CUST009"/>
    <x v="9"/>
    <x v="3"/>
    <x v="2"/>
    <x v="54"/>
    <n v="15"/>
    <x v="2"/>
    <x v="36"/>
    <x v="54"/>
    <n v="10439.699999999999"/>
    <x v="0"/>
  </r>
  <r>
    <s v="CUST005"/>
    <x v="1"/>
    <x v="2"/>
    <x v="3"/>
    <x v="55"/>
    <n v="10"/>
    <x v="0"/>
    <x v="36"/>
    <x v="55"/>
    <n v="7352.32"/>
    <x v="0"/>
  </r>
  <r>
    <s v="CUST030"/>
    <x v="24"/>
    <x v="4"/>
    <x v="0"/>
    <x v="56"/>
    <n v="11"/>
    <x v="1"/>
    <x v="37"/>
    <x v="56"/>
    <n v="10705.86"/>
    <x v="0"/>
  </r>
  <r>
    <s v="CUST029"/>
    <x v="23"/>
    <x v="3"/>
    <x v="2"/>
    <x v="57"/>
    <n v="1"/>
    <x v="0"/>
    <x v="38"/>
    <x v="57"/>
    <n v="593.28800000000001"/>
    <x v="0"/>
  </r>
  <r>
    <s v="CUST003"/>
    <x v="9"/>
    <x v="3"/>
    <x v="0"/>
    <x v="58"/>
    <n v="2"/>
    <x v="3"/>
    <x v="39"/>
    <x v="58"/>
    <n v="2247.8759999999997"/>
    <x v="0"/>
  </r>
  <r>
    <s v="CUST012"/>
    <x v="20"/>
    <x v="0"/>
    <x v="1"/>
    <x v="59"/>
    <n v="17"/>
    <x v="1"/>
    <x v="39"/>
    <x v="59"/>
    <n v="23126.12"/>
    <x v="0"/>
  </r>
  <r>
    <s v="CUST021"/>
    <x v="6"/>
    <x v="1"/>
    <x v="0"/>
    <x v="60"/>
    <n v="8"/>
    <x v="3"/>
    <x v="40"/>
    <x v="60"/>
    <n v="9959.76"/>
    <x v="0"/>
  </r>
  <r>
    <s v="CUST010"/>
    <x v="18"/>
    <x v="4"/>
    <x v="4"/>
    <x v="61"/>
    <n v="9"/>
    <x v="1"/>
    <x v="41"/>
    <x v="61"/>
    <n v="4400.91"/>
    <x v="0"/>
  </r>
  <r>
    <s v="CUST026"/>
    <x v="6"/>
    <x v="1"/>
    <x v="3"/>
    <x v="62"/>
    <n v="17"/>
    <x v="3"/>
    <x v="42"/>
    <x v="62"/>
    <n v="14285.763000000001"/>
    <x v="0"/>
  </r>
  <r>
    <s v="CUST003"/>
    <x v="0"/>
    <x v="0"/>
    <x v="2"/>
    <x v="63"/>
    <n v="17"/>
    <x v="0"/>
    <x v="42"/>
    <x v="63"/>
    <n v="13675.207999999999"/>
    <x v="0"/>
  </r>
  <r>
    <s v="CUST029"/>
    <x v="21"/>
    <x v="2"/>
    <x v="2"/>
    <x v="64"/>
    <n v="5"/>
    <x v="4"/>
    <x v="43"/>
    <x v="64"/>
    <n v="5225.4749999999995"/>
    <x v="0"/>
  </r>
  <r>
    <s v="CUST003"/>
    <x v="3"/>
    <x v="3"/>
    <x v="3"/>
    <x v="65"/>
    <n v="15"/>
    <x v="2"/>
    <x v="44"/>
    <x v="65"/>
    <n v="13192.424999999999"/>
    <x v="0"/>
  </r>
  <r>
    <s v="CUST002"/>
    <x v="6"/>
    <x v="2"/>
    <x v="0"/>
    <x v="66"/>
    <n v="12"/>
    <x v="4"/>
    <x v="45"/>
    <x v="66"/>
    <n v="9991.4159999999993"/>
    <x v="0"/>
  </r>
  <r>
    <s v="CUST020"/>
    <x v="18"/>
    <x v="0"/>
    <x v="3"/>
    <x v="67"/>
    <n v="5"/>
    <x v="4"/>
    <x v="45"/>
    <x v="67"/>
    <n v="6513.8649999999998"/>
    <x v="0"/>
  </r>
  <r>
    <s v="CUST021"/>
    <x v="13"/>
    <x v="3"/>
    <x v="2"/>
    <x v="68"/>
    <n v="11"/>
    <x v="4"/>
    <x v="46"/>
    <x v="68"/>
    <n v="10661.717000000001"/>
    <x v="0"/>
  </r>
  <r>
    <s v="CUST008"/>
    <x v="0"/>
    <x v="4"/>
    <x v="4"/>
    <x v="69"/>
    <n v="1"/>
    <x v="4"/>
    <x v="47"/>
    <x v="69"/>
    <n v="764.56949999999995"/>
    <x v="0"/>
  </r>
  <r>
    <s v="CUST030"/>
    <x v="18"/>
    <x v="4"/>
    <x v="2"/>
    <x v="70"/>
    <n v="1"/>
    <x v="4"/>
    <x v="48"/>
    <x v="70"/>
    <n v="578.22699999999998"/>
    <x v="0"/>
  </r>
  <r>
    <s v="CUST020"/>
    <x v="25"/>
    <x v="2"/>
    <x v="4"/>
    <x v="71"/>
    <n v="19"/>
    <x v="1"/>
    <x v="49"/>
    <x v="71"/>
    <n v="18642.8"/>
    <x v="0"/>
  </r>
  <r>
    <s v="CUST024"/>
    <x v="18"/>
    <x v="1"/>
    <x v="2"/>
    <x v="72"/>
    <n v="10"/>
    <x v="2"/>
    <x v="50"/>
    <x v="72"/>
    <n v="4588.0450000000001"/>
    <x v="0"/>
  </r>
  <r>
    <s v="CUST012"/>
    <x v="26"/>
    <x v="2"/>
    <x v="0"/>
    <x v="73"/>
    <n v="5"/>
    <x v="0"/>
    <x v="50"/>
    <x v="73"/>
    <n v="3217.8"/>
    <x v="0"/>
  </r>
  <r>
    <s v="CUST024"/>
    <x v="9"/>
    <x v="0"/>
    <x v="2"/>
    <x v="74"/>
    <n v="13"/>
    <x v="0"/>
    <x v="51"/>
    <x v="74"/>
    <n v="15876.64"/>
    <x v="0"/>
  </r>
  <r>
    <s v="CUST012"/>
    <x v="5"/>
    <x v="0"/>
    <x v="2"/>
    <x v="75"/>
    <n v="5"/>
    <x v="2"/>
    <x v="52"/>
    <x v="75"/>
    <n v="5164.8550000000005"/>
    <x v="0"/>
  </r>
  <r>
    <s v="CUST005"/>
    <x v="17"/>
    <x v="4"/>
    <x v="3"/>
    <x v="76"/>
    <n v="3"/>
    <x v="1"/>
    <x v="53"/>
    <x v="76"/>
    <n v="3784.0199999999995"/>
    <x v="0"/>
  </r>
  <r>
    <s v="CUST004"/>
    <x v="12"/>
    <x v="3"/>
    <x v="3"/>
    <x v="77"/>
    <n v="7"/>
    <x v="4"/>
    <x v="54"/>
    <x v="77"/>
    <n v="3445.1655000000001"/>
    <x v="0"/>
  </r>
  <r>
    <s v="CUST026"/>
    <x v="5"/>
    <x v="0"/>
    <x v="4"/>
    <x v="78"/>
    <n v="1"/>
    <x v="1"/>
    <x v="55"/>
    <x v="78"/>
    <n v="1111.3399999999999"/>
    <x v="0"/>
  </r>
  <r>
    <s v="CUST030"/>
    <x v="6"/>
    <x v="1"/>
    <x v="1"/>
    <x v="79"/>
    <n v="18"/>
    <x v="3"/>
    <x v="56"/>
    <x v="79"/>
    <n v="20921.813999999998"/>
    <x v="0"/>
  </r>
  <r>
    <s v="CUST007"/>
    <x v="18"/>
    <x v="3"/>
    <x v="0"/>
    <x v="80"/>
    <n v="19"/>
    <x v="1"/>
    <x v="57"/>
    <x v="80"/>
    <n v="12914.490000000002"/>
    <x v="0"/>
  </r>
  <r>
    <s v="CUST020"/>
    <x v="7"/>
    <x v="1"/>
    <x v="3"/>
    <x v="81"/>
    <n v="17"/>
    <x v="1"/>
    <x v="57"/>
    <x v="81"/>
    <n v="19442.73"/>
    <x v="0"/>
  </r>
  <r>
    <s v="CUST028"/>
    <x v="15"/>
    <x v="4"/>
    <x v="2"/>
    <x v="82"/>
    <n v="7"/>
    <x v="3"/>
    <x v="58"/>
    <x v="82"/>
    <n v="4977.5040000000008"/>
    <x v="0"/>
  </r>
  <r>
    <s v="CUST005"/>
    <x v="14"/>
    <x v="4"/>
    <x v="0"/>
    <x v="83"/>
    <n v="7"/>
    <x v="4"/>
    <x v="58"/>
    <x v="83"/>
    <n v="7120.0219999999999"/>
    <x v="0"/>
  </r>
  <r>
    <s v="CUST015"/>
    <x v="8"/>
    <x v="0"/>
    <x v="1"/>
    <x v="84"/>
    <n v="4"/>
    <x v="3"/>
    <x v="59"/>
    <x v="84"/>
    <n v="4208.0040000000008"/>
    <x v="0"/>
  </r>
  <r>
    <s v="CUST003"/>
    <x v="0"/>
    <x v="2"/>
    <x v="2"/>
    <x v="85"/>
    <n v="17"/>
    <x v="1"/>
    <x v="59"/>
    <x v="85"/>
    <n v="22709.789999999997"/>
    <x v="0"/>
  </r>
  <r>
    <s v="CUST023"/>
    <x v="18"/>
    <x v="1"/>
    <x v="3"/>
    <x v="86"/>
    <n v="9"/>
    <x v="1"/>
    <x v="60"/>
    <x v="86"/>
    <n v="7863.3"/>
    <x v="0"/>
  </r>
  <r>
    <s v="CUST004"/>
    <x v="23"/>
    <x v="0"/>
    <x v="4"/>
    <x v="87"/>
    <n v="19"/>
    <x v="1"/>
    <x v="61"/>
    <x v="87"/>
    <n v="27435.62"/>
    <x v="0"/>
  </r>
  <r>
    <s v="CUST023"/>
    <x v="3"/>
    <x v="1"/>
    <x v="4"/>
    <x v="88"/>
    <n v="11"/>
    <x v="2"/>
    <x v="62"/>
    <x v="88"/>
    <n v="10792.985499999999"/>
    <x v="0"/>
  </r>
  <r>
    <s v="CUST022"/>
    <x v="15"/>
    <x v="2"/>
    <x v="0"/>
    <x v="89"/>
    <n v="16"/>
    <x v="4"/>
    <x v="62"/>
    <x v="89"/>
    <n v="19220.248"/>
    <x v="0"/>
  </r>
  <r>
    <s v="CUST007"/>
    <x v="24"/>
    <x v="0"/>
    <x v="3"/>
    <x v="90"/>
    <n v="4"/>
    <x v="3"/>
    <x v="63"/>
    <x v="90"/>
    <n v="3965.58"/>
    <x v="0"/>
  </r>
  <r>
    <s v="CUST013"/>
    <x v="1"/>
    <x v="2"/>
    <x v="3"/>
    <x v="91"/>
    <n v="1"/>
    <x v="3"/>
    <x v="64"/>
    <x v="91"/>
    <n v="654.95699999999999"/>
    <x v="0"/>
  </r>
  <r>
    <s v="CUST027"/>
    <x v="9"/>
    <x v="1"/>
    <x v="4"/>
    <x v="92"/>
    <n v="13"/>
    <x v="2"/>
    <x v="64"/>
    <x v="92"/>
    <n v="9673.2804999999989"/>
    <x v="0"/>
  </r>
  <r>
    <s v="CUST003"/>
    <x v="3"/>
    <x v="0"/>
    <x v="2"/>
    <x v="93"/>
    <n v="19"/>
    <x v="0"/>
    <x v="65"/>
    <x v="93"/>
    <n v="17615.888000000003"/>
    <x v="0"/>
  </r>
  <r>
    <s v="CUST018"/>
    <x v="13"/>
    <x v="2"/>
    <x v="0"/>
    <x v="94"/>
    <n v="2"/>
    <x v="2"/>
    <x v="66"/>
    <x v="94"/>
    <n v="1642.7099999999998"/>
    <x v="0"/>
  </r>
  <r>
    <s v="CUST020"/>
    <x v="2"/>
    <x v="2"/>
    <x v="0"/>
    <x v="95"/>
    <n v="6"/>
    <x v="1"/>
    <x v="67"/>
    <x v="95"/>
    <n v="5504.88"/>
    <x v="0"/>
  </r>
  <r>
    <s v="CUST029"/>
    <x v="21"/>
    <x v="0"/>
    <x v="3"/>
    <x v="96"/>
    <n v="7"/>
    <x v="2"/>
    <x v="68"/>
    <x v="96"/>
    <n v="6979.1715000000004"/>
    <x v="0"/>
  </r>
  <r>
    <s v="CUST021"/>
    <x v="3"/>
    <x v="3"/>
    <x v="1"/>
    <x v="97"/>
    <n v="11"/>
    <x v="3"/>
    <x v="68"/>
    <x v="97"/>
    <n v="11937.617999999999"/>
    <x v="0"/>
  </r>
  <r>
    <s v="CUST017"/>
    <x v="23"/>
    <x v="0"/>
    <x v="4"/>
    <x v="98"/>
    <n v="10"/>
    <x v="0"/>
    <x v="69"/>
    <x v="98"/>
    <n v="6615.44"/>
    <x v="0"/>
  </r>
  <r>
    <s v="CUST003"/>
    <x v="3"/>
    <x v="4"/>
    <x v="1"/>
    <x v="99"/>
    <n v="12"/>
    <x v="1"/>
    <x v="69"/>
    <x v="99"/>
    <n v="10826.28"/>
    <x v="0"/>
  </r>
  <r>
    <s v="CUST027"/>
    <x v="9"/>
    <x v="3"/>
    <x v="0"/>
    <x v="100"/>
    <n v="17"/>
    <x v="3"/>
    <x v="70"/>
    <x v="100"/>
    <n v="8965.3410000000003"/>
    <x v="0"/>
  </r>
  <r>
    <s v="CUST016"/>
    <x v="4"/>
    <x v="3"/>
    <x v="1"/>
    <x v="101"/>
    <n v="8"/>
    <x v="3"/>
    <x v="70"/>
    <x v="101"/>
    <n v="7129.3680000000004"/>
    <x v="0"/>
  </r>
  <r>
    <s v="CUST008"/>
    <x v="19"/>
    <x v="4"/>
    <x v="2"/>
    <x v="102"/>
    <n v="13"/>
    <x v="0"/>
    <x v="71"/>
    <x v="102"/>
    <n v="10546.536"/>
    <x v="0"/>
  </r>
  <r>
    <s v="CUST012"/>
    <x v="14"/>
    <x v="3"/>
    <x v="2"/>
    <x v="103"/>
    <n v="17"/>
    <x v="1"/>
    <x v="72"/>
    <x v="103"/>
    <n v="15729.93"/>
    <x v="0"/>
  </r>
  <r>
    <s v="CUST025"/>
    <x v="13"/>
    <x v="1"/>
    <x v="3"/>
    <x v="104"/>
    <n v="8"/>
    <x v="1"/>
    <x v="73"/>
    <x v="104"/>
    <n v="10292.32"/>
    <x v="0"/>
  </r>
  <r>
    <s v="CUST014"/>
    <x v="23"/>
    <x v="2"/>
    <x v="0"/>
    <x v="105"/>
    <n v="8"/>
    <x v="0"/>
    <x v="74"/>
    <x v="105"/>
    <n v="6154.3680000000004"/>
    <x v="0"/>
  </r>
  <r>
    <s v="CUST008"/>
    <x v="3"/>
    <x v="1"/>
    <x v="0"/>
    <x v="106"/>
    <n v="19"/>
    <x v="2"/>
    <x v="74"/>
    <x v="106"/>
    <n v="17460.411000000004"/>
    <x v="0"/>
  </r>
  <r>
    <s v="CUST015"/>
    <x v="3"/>
    <x v="0"/>
    <x v="1"/>
    <x v="107"/>
    <n v="9"/>
    <x v="0"/>
    <x v="75"/>
    <x v="107"/>
    <n v="13850.352000000003"/>
    <x v="0"/>
  </r>
  <r>
    <s v="CUST025"/>
    <x v="24"/>
    <x v="4"/>
    <x v="1"/>
    <x v="108"/>
    <n v="14"/>
    <x v="3"/>
    <x v="76"/>
    <x v="108"/>
    <n v="9181.746000000001"/>
    <x v="0"/>
  </r>
  <r>
    <s v="CUST019"/>
    <x v="7"/>
    <x v="4"/>
    <x v="1"/>
    <x v="109"/>
    <n v="7"/>
    <x v="2"/>
    <x v="76"/>
    <x v="109"/>
    <n v="7746.2455000000009"/>
    <x v="0"/>
  </r>
  <r>
    <s v="CUST024"/>
    <x v="24"/>
    <x v="1"/>
    <x v="0"/>
    <x v="110"/>
    <n v="16"/>
    <x v="3"/>
    <x v="77"/>
    <x v="110"/>
    <n v="14114.591999999999"/>
    <x v="0"/>
  </r>
  <r>
    <s v="CUST027"/>
    <x v="3"/>
    <x v="0"/>
    <x v="1"/>
    <x v="111"/>
    <n v="17"/>
    <x v="3"/>
    <x v="78"/>
    <x v="111"/>
    <n v="10672.821"/>
    <x v="0"/>
  </r>
  <r>
    <s v="CUST006"/>
    <x v="26"/>
    <x v="0"/>
    <x v="3"/>
    <x v="112"/>
    <n v="1"/>
    <x v="2"/>
    <x v="78"/>
    <x v="112"/>
    <n v="1014.5684999999999"/>
    <x v="0"/>
  </r>
  <r>
    <s v="CUST009"/>
    <x v="9"/>
    <x v="2"/>
    <x v="2"/>
    <x v="113"/>
    <n v="1"/>
    <x v="1"/>
    <x v="79"/>
    <x v="113"/>
    <n v="771.02"/>
    <x v="0"/>
  </r>
  <r>
    <s v="CUST003"/>
    <x v="25"/>
    <x v="3"/>
    <x v="1"/>
    <x v="114"/>
    <n v="1"/>
    <x v="0"/>
    <x v="80"/>
    <x v="114"/>
    <n v="528.87200000000007"/>
    <x v="0"/>
  </r>
  <r>
    <s v="CUST012"/>
    <x v="18"/>
    <x v="0"/>
    <x v="2"/>
    <x v="115"/>
    <n v="15"/>
    <x v="1"/>
    <x v="81"/>
    <x v="115"/>
    <n v="10332.450000000001"/>
    <x v="0"/>
  </r>
  <r>
    <s v="CUST013"/>
    <x v="5"/>
    <x v="4"/>
    <x v="0"/>
    <x v="116"/>
    <n v="4"/>
    <x v="4"/>
    <x v="82"/>
    <x v="116"/>
    <n v="4746.579999999999"/>
    <x v="0"/>
  </r>
  <r>
    <s v="CUST008"/>
    <x v="3"/>
    <x v="1"/>
    <x v="4"/>
    <x v="117"/>
    <n v="14"/>
    <x v="4"/>
    <x v="83"/>
    <x v="117"/>
    <n v="13489.126"/>
    <x v="0"/>
  </r>
  <r>
    <s v="CUST025"/>
    <x v="14"/>
    <x v="1"/>
    <x v="0"/>
    <x v="118"/>
    <n v="2"/>
    <x v="2"/>
    <x v="84"/>
    <x v="118"/>
    <n v="1717.9860000000001"/>
    <x v="0"/>
  </r>
  <r>
    <s v="CUST026"/>
    <x v="20"/>
    <x v="3"/>
    <x v="3"/>
    <x v="119"/>
    <n v="4"/>
    <x v="4"/>
    <x v="84"/>
    <x v="119"/>
    <n v="3637.7019999999998"/>
    <x v="0"/>
  </r>
  <r>
    <s v="CUST001"/>
    <x v="12"/>
    <x v="3"/>
    <x v="3"/>
    <x v="120"/>
    <n v="3"/>
    <x v="4"/>
    <x v="85"/>
    <x v="120"/>
    <n v="3072.0720000000001"/>
    <x v="0"/>
  </r>
  <r>
    <s v="CUST028"/>
    <x v="15"/>
    <x v="2"/>
    <x v="1"/>
    <x v="121"/>
    <n v="5"/>
    <x v="1"/>
    <x v="86"/>
    <x v="121"/>
    <n v="5815.05"/>
    <x v="0"/>
  </r>
  <r>
    <s v="CUST025"/>
    <x v="12"/>
    <x v="1"/>
    <x v="4"/>
    <x v="122"/>
    <n v="10"/>
    <x v="3"/>
    <x v="87"/>
    <x v="122"/>
    <n v="9131.0399999999991"/>
    <x v="0"/>
  </r>
  <r>
    <s v="CUST019"/>
    <x v="2"/>
    <x v="2"/>
    <x v="2"/>
    <x v="123"/>
    <n v="14"/>
    <x v="1"/>
    <x v="88"/>
    <x v="123"/>
    <n v="10052.56"/>
    <x v="0"/>
  </r>
  <r>
    <s v="CUST004"/>
    <x v="2"/>
    <x v="4"/>
    <x v="1"/>
    <x v="124"/>
    <n v="18"/>
    <x v="0"/>
    <x v="88"/>
    <x v="124"/>
    <n v="18401.04"/>
    <x v="0"/>
  </r>
  <r>
    <s v="CUST024"/>
    <x v="3"/>
    <x v="3"/>
    <x v="2"/>
    <x v="125"/>
    <n v="1"/>
    <x v="2"/>
    <x v="88"/>
    <x v="125"/>
    <n v="600.72050000000002"/>
    <x v="0"/>
  </r>
  <r>
    <s v="CUST002"/>
    <x v="15"/>
    <x v="1"/>
    <x v="2"/>
    <x v="126"/>
    <n v="15"/>
    <x v="1"/>
    <x v="89"/>
    <x v="126"/>
    <n v="21158.85"/>
    <x v="0"/>
  </r>
  <r>
    <s v="CUST009"/>
    <x v="21"/>
    <x v="2"/>
    <x v="3"/>
    <x v="127"/>
    <n v="10"/>
    <x v="1"/>
    <x v="89"/>
    <x v="127"/>
    <n v="13503.3"/>
    <x v="0"/>
  </r>
  <r>
    <s v="CUST029"/>
    <x v="12"/>
    <x v="1"/>
    <x v="2"/>
    <x v="128"/>
    <n v="4"/>
    <x v="2"/>
    <x v="89"/>
    <x v="128"/>
    <n v="3125.2119999999995"/>
    <x v="0"/>
  </r>
  <r>
    <s v="CUST027"/>
    <x v="3"/>
    <x v="0"/>
    <x v="2"/>
    <x v="129"/>
    <n v="19"/>
    <x v="1"/>
    <x v="90"/>
    <x v="129"/>
    <n v="4911.6899999999996"/>
    <x v="0"/>
  </r>
  <r>
    <s v="CUST011"/>
    <x v="21"/>
    <x v="1"/>
    <x v="0"/>
    <x v="130"/>
    <n v="5"/>
    <x v="4"/>
    <x v="90"/>
    <x v="130"/>
    <n v="5764.03"/>
    <x v="0"/>
  </r>
  <r>
    <s v="CUST021"/>
    <x v="9"/>
    <x v="4"/>
    <x v="0"/>
    <x v="131"/>
    <n v="8"/>
    <x v="4"/>
    <x v="91"/>
    <x v="131"/>
    <n v="8742.1279999999988"/>
    <x v="0"/>
  </r>
  <r>
    <s v="CUST014"/>
    <x v="26"/>
    <x v="2"/>
    <x v="3"/>
    <x v="132"/>
    <n v="8"/>
    <x v="3"/>
    <x v="91"/>
    <x v="132"/>
    <n v="6147.7920000000004"/>
    <x v="0"/>
  </r>
  <r>
    <s v="CUST018"/>
    <x v="12"/>
    <x v="2"/>
    <x v="2"/>
    <x v="133"/>
    <n v="1"/>
    <x v="1"/>
    <x v="92"/>
    <x v="133"/>
    <n v="1061.04"/>
    <x v="0"/>
  </r>
  <r>
    <s v="CUST001"/>
    <x v="11"/>
    <x v="0"/>
    <x v="2"/>
    <x v="134"/>
    <n v="19"/>
    <x v="0"/>
    <x v="93"/>
    <x v="134"/>
    <n v="13597.160000000002"/>
    <x v="0"/>
  </r>
  <r>
    <s v="CUST007"/>
    <x v="9"/>
    <x v="3"/>
    <x v="4"/>
    <x v="135"/>
    <n v="3"/>
    <x v="4"/>
    <x v="94"/>
    <x v="135"/>
    <n v="2376.6435000000001"/>
    <x v="0"/>
  </r>
  <r>
    <s v="CUST015"/>
    <x v="26"/>
    <x v="0"/>
    <x v="3"/>
    <x v="136"/>
    <n v="4"/>
    <x v="0"/>
    <x v="95"/>
    <x v="136"/>
    <n v="2624.6080000000002"/>
    <x v="0"/>
  </r>
  <r>
    <s v="CUST015"/>
    <x v="9"/>
    <x v="4"/>
    <x v="2"/>
    <x v="137"/>
    <n v="8"/>
    <x v="4"/>
    <x v="96"/>
    <x v="137"/>
    <n v="3889.2239999999997"/>
    <x v="0"/>
  </r>
  <r>
    <s v="CUST002"/>
    <x v="21"/>
    <x v="2"/>
    <x v="3"/>
    <x v="138"/>
    <n v="19"/>
    <x v="4"/>
    <x v="97"/>
    <x v="138"/>
    <n v="14548.841499999999"/>
    <x v="0"/>
  </r>
  <r>
    <s v="CUST001"/>
    <x v="4"/>
    <x v="4"/>
    <x v="3"/>
    <x v="139"/>
    <n v="16"/>
    <x v="2"/>
    <x v="98"/>
    <x v="139"/>
    <n v="19481.592000000001"/>
    <x v="0"/>
  </r>
  <r>
    <s v="CUST027"/>
    <x v="5"/>
    <x v="4"/>
    <x v="2"/>
    <x v="140"/>
    <n v="10"/>
    <x v="2"/>
    <x v="98"/>
    <x v="140"/>
    <n v="12652.929999999998"/>
    <x v="0"/>
  </r>
  <r>
    <s v="CUST026"/>
    <x v="24"/>
    <x v="1"/>
    <x v="0"/>
    <x v="141"/>
    <n v="9"/>
    <x v="1"/>
    <x v="99"/>
    <x v="141"/>
    <n v="11081.34"/>
    <x v="0"/>
  </r>
  <r>
    <s v="CUST026"/>
    <x v="11"/>
    <x v="0"/>
    <x v="2"/>
    <x v="142"/>
    <n v="19"/>
    <x v="0"/>
    <x v="100"/>
    <x v="142"/>
    <n v="17657.384000000002"/>
    <x v="0"/>
  </r>
  <r>
    <s v="CUST022"/>
    <x v="12"/>
    <x v="4"/>
    <x v="4"/>
    <x v="143"/>
    <n v="16"/>
    <x v="4"/>
    <x v="101"/>
    <x v="143"/>
    <n v="5901.0959999999995"/>
    <x v="0"/>
  </r>
  <r>
    <s v="CUST004"/>
    <x v="6"/>
    <x v="3"/>
    <x v="1"/>
    <x v="144"/>
    <n v="6"/>
    <x v="2"/>
    <x v="102"/>
    <x v="144"/>
    <n v="8106.0420000000004"/>
    <x v="0"/>
  </r>
  <r>
    <s v="CUST001"/>
    <x v="26"/>
    <x v="3"/>
    <x v="1"/>
    <x v="145"/>
    <n v="13"/>
    <x v="0"/>
    <x v="102"/>
    <x v="145"/>
    <n v="3501.2640000000001"/>
    <x v="0"/>
  </r>
  <r>
    <s v="CUST022"/>
    <x v="3"/>
    <x v="0"/>
    <x v="0"/>
    <x v="146"/>
    <n v="14"/>
    <x v="3"/>
    <x v="103"/>
    <x v="146"/>
    <n v="17057.753999999997"/>
    <x v="0"/>
  </r>
  <r>
    <s v="CUST011"/>
    <x v="25"/>
    <x v="4"/>
    <x v="1"/>
    <x v="147"/>
    <n v="11"/>
    <x v="4"/>
    <x v="104"/>
    <x v="147"/>
    <n v="6924.2744999999995"/>
    <x v="0"/>
  </r>
  <r>
    <s v="CUST028"/>
    <x v="14"/>
    <x v="3"/>
    <x v="4"/>
    <x v="148"/>
    <n v="1"/>
    <x v="0"/>
    <x v="104"/>
    <x v="148"/>
    <n v="247.53600000000003"/>
    <x v="0"/>
  </r>
  <r>
    <s v="CUST011"/>
    <x v="5"/>
    <x v="3"/>
    <x v="0"/>
    <x v="149"/>
    <n v="18"/>
    <x v="3"/>
    <x v="105"/>
    <x v="149"/>
    <n v="14331.006000000001"/>
    <x v="0"/>
  </r>
  <r>
    <s v="CUST028"/>
    <x v="3"/>
    <x v="4"/>
    <x v="4"/>
    <x v="150"/>
    <n v="10"/>
    <x v="3"/>
    <x v="106"/>
    <x v="150"/>
    <n v="6705.45"/>
    <x v="0"/>
  </r>
  <r>
    <s v="CUST016"/>
    <x v="2"/>
    <x v="2"/>
    <x v="1"/>
    <x v="151"/>
    <n v="5"/>
    <x v="4"/>
    <x v="106"/>
    <x v="151"/>
    <n v="4133.5924999999997"/>
    <x v="0"/>
  </r>
  <r>
    <s v="CUST010"/>
    <x v="5"/>
    <x v="0"/>
    <x v="3"/>
    <x v="152"/>
    <n v="18"/>
    <x v="4"/>
    <x v="107"/>
    <x v="152"/>
    <n v="14743.449000000001"/>
    <x v="0"/>
  </r>
  <r>
    <s v="CUST013"/>
    <x v="20"/>
    <x v="3"/>
    <x v="1"/>
    <x v="153"/>
    <n v="19"/>
    <x v="4"/>
    <x v="108"/>
    <x v="153"/>
    <n v="21139.798999999999"/>
    <x v="0"/>
  </r>
  <r>
    <s v="CUST015"/>
    <x v="1"/>
    <x v="2"/>
    <x v="3"/>
    <x v="154"/>
    <n v="11"/>
    <x v="3"/>
    <x v="109"/>
    <x v="154"/>
    <n v="10440.144"/>
    <x v="0"/>
  </r>
  <r>
    <s v="CUST015"/>
    <x v="3"/>
    <x v="3"/>
    <x v="2"/>
    <x v="155"/>
    <n v="5"/>
    <x v="0"/>
    <x v="110"/>
    <x v="155"/>
    <n v="6724.84"/>
    <x v="0"/>
  </r>
  <r>
    <s v="CUST015"/>
    <x v="8"/>
    <x v="0"/>
    <x v="1"/>
    <x v="156"/>
    <n v="9"/>
    <x v="4"/>
    <x v="111"/>
    <x v="156"/>
    <n v="3247.0334999999995"/>
    <x v="0"/>
  </r>
  <r>
    <s v="CUST008"/>
    <x v="12"/>
    <x v="4"/>
    <x v="1"/>
    <x v="157"/>
    <n v="2"/>
    <x v="3"/>
    <x v="112"/>
    <x v="157"/>
    <n v="1937.394"/>
    <x v="0"/>
  </r>
  <r>
    <s v="CUST008"/>
    <x v="6"/>
    <x v="4"/>
    <x v="4"/>
    <x v="158"/>
    <n v="7"/>
    <x v="1"/>
    <x v="112"/>
    <x v="158"/>
    <n v="8754.9700000000012"/>
    <x v="0"/>
  </r>
  <r>
    <s v="CUST023"/>
    <x v="2"/>
    <x v="2"/>
    <x v="1"/>
    <x v="159"/>
    <n v="6"/>
    <x v="0"/>
    <x v="112"/>
    <x v="159"/>
    <n v="5368.0319999999992"/>
    <x v="0"/>
  </r>
  <r>
    <s v="CUST024"/>
    <x v="17"/>
    <x v="3"/>
    <x v="1"/>
    <x v="160"/>
    <n v="12"/>
    <x v="0"/>
    <x v="113"/>
    <x v="160"/>
    <n v="15577.152"/>
    <x v="0"/>
  </r>
  <r>
    <s v="CUST018"/>
    <x v="14"/>
    <x v="3"/>
    <x v="0"/>
    <x v="161"/>
    <n v="11"/>
    <x v="0"/>
    <x v="114"/>
    <x v="161"/>
    <n v="5637.6320000000005"/>
    <x v="0"/>
  </r>
  <r>
    <s v="CUST030"/>
    <x v="11"/>
    <x v="0"/>
    <x v="1"/>
    <x v="162"/>
    <n v="17"/>
    <x v="3"/>
    <x v="115"/>
    <x v="162"/>
    <n v="8952.9480000000003"/>
    <x v="0"/>
  </r>
  <r>
    <s v="CUST030"/>
    <x v="6"/>
    <x v="1"/>
    <x v="1"/>
    <x v="163"/>
    <n v="5"/>
    <x v="0"/>
    <x v="116"/>
    <x v="163"/>
    <n v="4439.92"/>
    <x v="0"/>
  </r>
  <r>
    <s v="CUST015"/>
    <x v="12"/>
    <x v="1"/>
    <x v="0"/>
    <x v="164"/>
    <n v="9"/>
    <x v="3"/>
    <x v="117"/>
    <x v="164"/>
    <n v="8894.4480000000003"/>
    <x v="0"/>
  </r>
  <r>
    <s v="CUST002"/>
    <x v="14"/>
    <x v="0"/>
    <x v="4"/>
    <x v="165"/>
    <n v="7"/>
    <x v="3"/>
    <x v="118"/>
    <x v="165"/>
    <n v="5211.6750000000002"/>
    <x v="0"/>
  </r>
  <r>
    <s v="CUST024"/>
    <x v="5"/>
    <x v="4"/>
    <x v="1"/>
    <x v="166"/>
    <n v="16"/>
    <x v="3"/>
    <x v="119"/>
    <x v="166"/>
    <n v="10683.072"/>
    <x v="0"/>
  </r>
  <r>
    <s v="CUST004"/>
    <x v="0"/>
    <x v="1"/>
    <x v="4"/>
    <x v="167"/>
    <n v="6"/>
    <x v="3"/>
    <x v="120"/>
    <x v="167"/>
    <n v="7080.8040000000001"/>
    <x v="0"/>
  </r>
  <r>
    <s v="CUST004"/>
    <x v="6"/>
    <x v="2"/>
    <x v="4"/>
    <x v="168"/>
    <n v="19"/>
    <x v="3"/>
    <x v="121"/>
    <x v="168"/>
    <n v="9803.7720000000027"/>
    <x v="0"/>
  </r>
  <r>
    <s v="CUST028"/>
    <x v="3"/>
    <x v="0"/>
    <x v="2"/>
    <x v="169"/>
    <n v="14"/>
    <x v="0"/>
    <x v="122"/>
    <x v="169"/>
    <n v="12490.464"/>
    <x v="0"/>
  </r>
  <r>
    <s v="CUST012"/>
    <x v="12"/>
    <x v="3"/>
    <x v="1"/>
    <x v="170"/>
    <n v="4"/>
    <x v="1"/>
    <x v="123"/>
    <x v="170"/>
    <n v="3383.36"/>
    <x v="0"/>
  </r>
  <r>
    <s v="CUST026"/>
    <x v="18"/>
    <x v="0"/>
    <x v="2"/>
    <x v="171"/>
    <n v="3"/>
    <x v="1"/>
    <x v="124"/>
    <x v="171"/>
    <n v="3089.3999999999996"/>
    <x v="0"/>
  </r>
  <r>
    <s v="CUST009"/>
    <x v="6"/>
    <x v="3"/>
    <x v="0"/>
    <x v="172"/>
    <n v="2"/>
    <x v="0"/>
    <x v="125"/>
    <x v="172"/>
    <n v="1903.7280000000001"/>
    <x v="0"/>
  </r>
  <r>
    <s v="CUST003"/>
    <x v="11"/>
    <x v="2"/>
    <x v="0"/>
    <x v="173"/>
    <n v="15"/>
    <x v="0"/>
    <x v="126"/>
    <x v="173"/>
    <n v="8451.3599999999988"/>
    <x v="0"/>
  </r>
  <r>
    <s v="CUST002"/>
    <x v="13"/>
    <x v="4"/>
    <x v="4"/>
    <x v="174"/>
    <n v="12"/>
    <x v="0"/>
    <x v="126"/>
    <x v="174"/>
    <n v="15534.912"/>
    <x v="0"/>
  </r>
  <r>
    <s v="CUST013"/>
    <x v="17"/>
    <x v="4"/>
    <x v="0"/>
    <x v="175"/>
    <n v="2"/>
    <x v="2"/>
    <x v="127"/>
    <x v="175"/>
    <n v="1724.5309999999999"/>
    <x v="0"/>
  </r>
  <r>
    <s v="CUST018"/>
    <x v="6"/>
    <x v="4"/>
    <x v="1"/>
    <x v="176"/>
    <n v="18"/>
    <x v="0"/>
    <x v="128"/>
    <x v="176"/>
    <n v="11908.368000000002"/>
    <x v="0"/>
  </r>
  <r>
    <s v="CUST017"/>
    <x v="6"/>
    <x v="4"/>
    <x v="1"/>
    <x v="177"/>
    <n v="8"/>
    <x v="3"/>
    <x v="129"/>
    <x v="177"/>
    <n v="7360.0560000000005"/>
    <x v="0"/>
  </r>
  <r>
    <s v="CUST004"/>
    <x v="5"/>
    <x v="1"/>
    <x v="0"/>
    <x v="178"/>
    <n v="6"/>
    <x v="1"/>
    <x v="130"/>
    <x v="178"/>
    <n v="6598.14"/>
    <x v="0"/>
  </r>
  <r>
    <s v="CUST028"/>
    <x v="23"/>
    <x v="3"/>
    <x v="0"/>
    <x v="179"/>
    <n v="8"/>
    <x v="3"/>
    <x v="131"/>
    <x v="179"/>
    <n v="5115.7439999999997"/>
    <x v="0"/>
  </r>
  <r>
    <s v="CUST028"/>
    <x v="20"/>
    <x v="3"/>
    <x v="0"/>
    <x v="180"/>
    <n v="15"/>
    <x v="0"/>
    <x v="132"/>
    <x v="180"/>
    <n v="5990.16"/>
    <x v="0"/>
  </r>
  <r>
    <s v="CUST014"/>
    <x v="9"/>
    <x v="2"/>
    <x v="0"/>
    <x v="181"/>
    <n v="18"/>
    <x v="4"/>
    <x v="133"/>
    <x v="181"/>
    <n v="18197.649000000001"/>
    <x v="0"/>
  </r>
  <r>
    <s v="CUST003"/>
    <x v="9"/>
    <x v="1"/>
    <x v="4"/>
    <x v="182"/>
    <n v="18"/>
    <x v="4"/>
    <x v="134"/>
    <x v="182"/>
    <n v="7502.7960000000003"/>
    <x v="0"/>
  </r>
  <r>
    <s v="CUST029"/>
    <x v="18"/>
    <x v="0"/>
    <x v="1"/>
    <x v="183"/>
    <n v="2"/>
    <x v="4"/>
    <x v="135"/>
    <x v="183"/>
    <n v="1643.462"/>
    <x v="0"/>
  </r>
  <r>
    <s v="CUST021"/>
    <x v="18"/>
    <x v="0"/>
    <x v="3"/>
    <x v="184"/>
    <n v="14"/>
    <x v="0"/>
    <x v="136"/>
    <x v="184"/>
    <n v="11031.216"/>
    <x v="0"/>
  </r>
  <r>
    <s v="CUST007"/>
    <x v="18"/>
    <x v="0"/>
    <x v="1"/>
    <x v="185"/>
    <n v="18"/>
    <x v="1"/>
    <x v="137"/>
    <x v="185"/>
    <n v="26882.82"/>
    <x v="0"/>
  </r>
  <r>
    <s v="CUST009"/>
    <x v="17"/>
    <x v="2"/>
    <x v="1"/>
    <x v="186"/>
    <n v="9"/>
    <x v="3"/>
    <x v="138"/>
    <x v="186"/>
    <n v="5584.3829999999998"/>
    <x v="0"/>
  </r>
  <r>
    <s v="CUST023"/>
    <x v="20"/>
    <x v="2"/>
    <x v="1"/>
    <x v="187"/>
    <n v="1"/>
    <x v="1"/>
    <x v="139"/>
    <x v="187"/>
    <n v="682.24"/>
    <x v="0"/>
  </r>
  <r>
    <s v="CUST029"/>
    <x v="4"/>
    <x v="3"/>
    <x v="2"/>
    <x v="188"/>
    <n v="15"/>
    <x v="0"/>
    <x v="140"/>
    <x v="188"/>
    <n v="5502.4800000000005"/>
    <x v="0"/>
  </r>
  <r>
    <s v="CUST009"/>
    <x v="4"/>
    <x v="2"/>
    <x v="3"/>
    <x v="189"/>
    <n v="11"/>
    <x v="0"/>
    <x v="141"/>
    <x v="189"/>
    <n v="10421.400000000001"/>
    <x v="0"/>
  </r>
  <r>
    <s v="CUST007"/>
    <x v="0"/>
    <x v="2"/>
    <x v="1"/>
    <x v="190"/>
    <n v="9"/>
    <x v="1"/>
    <x v="142"/>
    <x v="190"/>
    <n v="6859.26"/>
    <x v="0"/>
  </r>
  <r>
    <s v="CUST030"/>
    <x v="17"/>
    <x v="3"/>
    <x v="0"/>
    <x v="191"/>
    <n v="10"/>
    <x v="2"/>
    <x v="142"/>
    <x v="191"/>
    <n v="6381.0349999999999"/>
    <x v="0"/>
  </r>
  <r>
    <s v="CUST018"/>
    <x v="26"/>
    <x v="4"/>
    <x v="1"/>
    <x v="192"/>
    <n v="14"/>
    <x v="4"/>
    <x v="143"/>
    <x v="192"/>
    <n v="19377.302"/>
    <x v="0"/>
  </r>
  <r>
    <s v="CUST008"/>
    <x v="21"/>
    <x v="1"/>
    <x v="3"/>
    <x v="193"/>
    <n v="17"/>
    <x v="3"/>
    <x v="143"/>
    <x v="193"/>
    <n v="16728.714000000004"/>
    <x v="0"/>
  </r>
  <r>
    <s v="CUST014"/>
    <x v="11"/>
    <x v="0"/>
    <x v="1"/>
    <x v="194"/>
    <n v="8"/>
    <x v="2"/>
    <x v="144"/>
    <x v="194"/>
    <n v="6353.0360000000001"/>
    <x v="0"/>
  </r>
  <r>
    <s v="CUST024"/>
    <x v="8"/>
    <x v="4"/>
    <x v="1"/>
    <x v="195"/>
    <n v="8"/>
    <x v="0"/>
    <x v="144"/>
    <x v="195"/>
    <n v="9378.24"/>
    <x v="0"/>
  </r>
  <r>
    <s v="CUST028"/>
    <x v="1"/>
    <x v="2"/>
    <x v="4"/>
    <x v="196"/>
    <n v="3"/>
    <x v="1"/>
    <x v="145"/>
    <x v="196"/>
    <n v="2222.3999999999996"/>
    <x v="0"/>
  </r>
  <r>
    <s v="CUST015"/>
    <x v="11"/>
    <x v="0"/>
    <x v="4"/>
    <x v="197"/>
    <n v="17"/>
    <x v="1"/>
    <x v="146"/>
    <x v="197"/>
    <n v="9272.4800000000014"/>
    <x v="0"/>
  </r>
  <r>
    <s v="CUST010"/>
    <x v="8"/>
    <x v="1"/>
    <x v="0"/>
    <x v="198"/>
    <n v="8"/>
    <x v="4"/>
    <x v="146"/>
    <x v="198"/>
    <n v="7581.8359999999993"/>
    <x v="0"/>
  </r>
  <r>
    <s v="CUST016"/>
    <x v="8"/>
    <x v="2"/>
    <x v="1"/>
    <x v="199"/>
    <n v="2"/>
    <x v="4"/>
    <x v="147"/>
    <x v="199"/>
    <n v="1763.808"/>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2A8921-32DE-4627-87F0-35EE81FCCB2C}" name="PivotTable8" cacheId="0" applyNumberFormats="0" applyBorderFormats="0" applyFontFormats="0" applyPatternFormats="0" applyAlignmentFormats="0" applyWidthHeightFormats="1" dataCaption="Values" updatedVersion="8" minRefreshableVersion="3" showDataTips="0" useAutoFormatting="1" itemPrintTitles="1" createdVersion="8" indent="0" outline="1" outlineData="1" multipleFieldFilters="0" chartFormat="48">
  <location ref="A3:B9" firstHeaderRow="1" firstDataRow="1" firstDataCol="1"/>
  <pivotFields count="13">
    <pivotField showAll="0"/>
    <pivotField showAll="0"/>
    <pivotField showAll="0">
      <items count="6">
        <item x="4"/>
        <item x="1"/>
        <item x="3"/>
        <item x="2"/>
        <item x="0"/>
        <item t="default"/>
      </items>
    </pivotField>
    <pivotField axis="axisRow" showAll="0">
      <items count="6">
        <item x="0"/>
        <item x="1"/>
        <item x="2"/>
        <item x="3"/>
        <item x="4"/>
        <item t="default"/>
      </items>
    </pivotField>
    <pivotField dataField="1" showAll="0">
      <items count="201">
        <item x="129"/>
        <item x="148"/>
        <item x="145"/>
        <item x="156"/>
        <item x="143"/>
        <item x="21"/>
        <item x="182"/>
        <item x="188"/>
        <item x="35"/>
        <item x="61"/>
        <item x="180"/>
        <item x="8"/>
        <item x="137"/>
        <item x="77"/>
        <item x="14"/>
        <item x="72"/>
        <item x="197"/>
        <item x="42"/>
        <item x="168"/>
        <item x="39"/>
        <item x="162"/>
        <item x="100"/>
        <item x="70"/>
        <item x="17"/>
        <item x="161"/>
        <item x="19"/>
        <item x="114"/>
        <item x="147"/>
        <item x="26"/>
        <item x="80"/>
        <item x="187"/>
        <item x="115"/>
        <item x="186"/>
        <item x="111"/>
        <item x="173"/>
        <item x="23"/>
        <item x="125"/>
        <item x="179"/>
        <item x="2"/>
        <item x="123"/>
        <item x="91"/>
        <item x="108"/>
        <item x="9"/>
        <item x="196"/>
        <item x="57"/>
        <item x="166"/>
        <item x="22"/>
        <item x="150"/>
        <item x="191"/>
        <item x="3"/>
        <item x="190"/>
        <item x="113"/>
        <item x="38"/>
        <item x="49"/>
        <item x="82"/>
        <item x="29"/>
        <item x="73"/>
        <item x="69"/>
        <item x="138"/>
        <item x="54"/>
        <item x="136"/>
        <item x="13"/>
        <item x="98"/>
        <item x="176"/>
        <item x="165"/>
        <item x="135"/>
        <item x="43"/>
        <item x="36"/>
        <item x="170"/>
        <item x="4"/>
        <item x="32"/>
        <item x="132"/>
        <item x="45"/>
        <item x="152"/>
        <item x="183"/>
        <item x="151"/>
        <item x="86"/>
        <item x="92"/>
        <item x="66"/>
        <item x="16"/>
        <item x="149"/>
        <item x="134"/>
        <item x="99"/>
        <item x="95"/>
        <item x="55"/>
        <item x="128"/>
        <item x="103"/>
        <item x="24"/>
        <item x="199"/>
        <item x="62"/>
        <item x="194"/>
        <item x="27"/>
        <item x="53"/>
        <item x="20"/>
        <item x="119"/>
        <item x="105"/>
        <item x="5"/>
        <item x="94"/>
        <item x="33"/>
        <item x="56"/>
        <item x="110"/>
        <item x="71"/>
        <item x="28"/>
        <item x="184"/>
        <item x="101"/>
        <item x="198"/>
        <item x="47"/>
        <item x="63"/>
        <item x="118"/>
        <item x="102"/>
        <item x="117"/>
        <item x="175"/>
        <item x="122"/>
        <item x="68"/>
        <item x="50"/>
        <item x="177"/>
        <item x="31"/>
        <item x="41"/>
        <item x="171"/>
        <item x="65"/>
        <item x="0"/>
        <item x="154"/>
        <item x="133"/>
        <item x="181"/>
        <item x="83"/>
        <item x="7"/>
        <item x="157"/>
        <item x="120"/>
        <item x="106"/>
        <item x="52"/>
        <item x="193"/>
        <item x="164"/>
        <item x="178"/>
        <item x="64"/>
        <item x="1"/>
        <item x="90"/>
        <item x="163"/>
        <item x="78"/>
        <item x="169"/>
        <item x="159"/>
        <item x="81"/>
        <item x="131"/>
        <item x="40"/>
        <item x="88"/>
        <item x="93"/>
        <item x="142"/>
        <item x="121"/>
        <item x="84"/>
        <item x="153"/>
        <item x="96"/>
        <item x="25"/>
        <item x="189"/>
        <item x="48"/>
        <item x="172"/>
        <item x="12"/>
        <item x="112"/>
        <item x="34"/>
        <item x="97"/>
        <item x="130"/>
        <item x="75"/>
        <item x="46"/>
        <item x="51"/>
        <item x="44"/>
        <item x="141"/>
        <item x="58"/>
        <item x="116"/>
        <item x="158"/>
        <item x="76"/>
        <item x="89"/>
        <item x="124"/>
        <item x="104"/>
        <item x="79"/>
        <item x="109"/>
        <item x="167"/>
        <item x="6"/>
        <item x="85"/>
        <item x="11"/>
        <item x="127"/>
        <item x="146"/>
        <item x="59"/>
        <item x="67"/>
        <item x="60"/>
        <item x="37"/>
        <item x="126"/>
        <item x="139"/>
        <item x="87"/>
        <item x="30"/>
        <item x="192"/>
        <item x="195"/>
        <item x="140"/>
        <item x="185"/>
        <item x="15"/>
        <item x="18"/>
        <item x="74"/>
        <item x="10"/>
        <item x="144"/>
        <item x="174"/>
        <item x="160"/>
        <item x="155"/>
        <item x="107"/>
        <item t="default"/>
      </items>
    </pivotField>
    <pivotField showAll="0"/>
    <pivotField numFmtId="9" showAll="0"/>
    <pivotField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numFmtId="2" showAll="0"/>
    <pivotField numFmtId="22"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3"/>
  </rowFields>
  <rowItems count="6">
    <i>
      <x/>
    </i>
    <i>
      <x v="1"/>
    </i>
    <i>
      <x v="2"/>
    </i>
    <i>
      <x v="3"/>
    </i>
    <i>
      <x v="4"/>
    </i>
    <i t="grand">
      <x/>
    </i>
  </rowItems>
  <colItems count="1">
    <i/>
  </colItems>
  <dataFields count="1">
    <dataField name="Sum of Sales" fld="4" baseField="0" baseItem="0"/>
  </dataFields>
  <formats count="4">
    <format dxfId="47">
      <pivotArea field="3" type="button" dataOnly="0" labelOnly="1" outline="0" axis="axisRow" fieldPosition="0"/>
    </format>
    <format dxfId="46">
      <pivotArea dataOnly="0" labelOnly="1" outline="0" axis="axisValues" fieldPosition="0"/>
    </format>
    <format dxfId="45">
      <pivotArea grandRow="1" outline="0" collapsedLevelsAreSubtotals="1" fieldPosition="0"/>
    </format>
    <format dxfId="44">
      <pivotArea dataOnly="0" labelOnly="1" grandRow="1" outline="0" fieldPosition="0"/>
    </format>
  </formats>
  <chartFormats count="3">
    <chartFormat chart="7" format="0" series="1">
      <pivotArea type="data" outline="0" fieldPosition="0">
        <references count="1">
          <reference field="4294967294" count="1" selected="0">
            <x v="0"/>
          </reference>
        </references>
      </pivotArea>
    </chartFormat>
    <chartFormat chart="28" format="4" series="1">
      <pivotArea type="data" outline="0" fieldPosition="0">
        <references count="1">
          <reference field="4294967294" count="1" selected="0">
            <x v="0"/>
          </reference>
        </references>
      </pivotArea>
    </chartFormat>
    <chartFormat chart="28" format="5">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A572AF-FAC3-4C70-A117-2B0D12E91E5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A3:G10" firstHeaderRow="1" firstDataRow="2" firstDataCol="1"/>
  <pivotFields count="13">
    <pivotField showAll="0"/>
    <pivotField showAll="0"/>
    <pivotField axis="axisRow" showAll="0">
      <items count="6">
        <item x="4"/>
        <item x="1"/>
        <item x="3"/>
        <item x="2"/>
        <item x="0"/>
        <item t="default"/>
      </items>
    </pivotField>
    <pivotField axis="axisCol" showAll="0">
      <items count="6">
        <item x="0"/>
        <item x="1"/>
        <item x="2"/>
        <item x="3"/>
        <item x="4"/>
        <item t="default"/>
      </items>
    </pivotField>
    <pivotField dataField="1" showAll="0"/>
    <pivotField showAll="0"/>
    <pivotField numFmtId="9" showAll="0"/>
    <pivotField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numFmtId="2" showAll="0"/>
    <pivotField numFmtId="22"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2"/>
  </rowFields>
  <rowItems count="6">
    <i>
      <x/>
    </i>
    <i>
      <x v="1"/>
    </i>
    <i>
      <x v="2"/>
    </i>
    <i>
      <x v="3"/>
    </i>
    <i>
      <x v="4"/>
    </i>
    <i t="grand">
      <x/>
    </i>
  </rowItems>
  <colFields count="1">
    <field x="3"/>
  </colFields>
  <colItems count="6">
    <i>
      <x/>
    </i>
    <i>
      <x v="1"/>
    </i>
    <i>
      <x v="2"/>
    </i>
    <i>
      <x v="3"/>
    </i>
    <i>
      <x v="4"/>
    </i>
    <i t="grand">
      <x/>
    </i>
  </colItems>
  <dataFields count="1">
    <dataField name="Sum of Sales" fld="4" baseField="0" baseItem="0"/>
  </dataFields>
  <formats count="5">
    <format dxfId="43">
      <pivotArea field="3" type="button" dataOnly="0" labelOnly="1" outline="0" axis="axisCol" fieldPosition="0"/>
    </format>
    <format dxfId="42">
      <pivotArea type="topRight" dataOnly="0" labelOnly="1" outline="0" fieldPosition="0"/>
    </format>
    <format dxfId="41">
      <pivotArea dataOnly="0" labelOnly="1" fieldPosition="0">
        <references count="1">
          <reference field="3" count="0"/>
        </references>
      </pivotArea>
    </format>
    <format dxfId="40">
      <pivotArea dataOnly="0" labelOnly="1" grandCol="1" outline="0" fieldPosition="0"/>
    </format>
    <format dxfId="39">
      <pivotArea grandRow="1" outline="0" collapsedLevelsAreSubtotals="1" fieldPosition="0"/>
    </format>
  </formats>
  <chartFormats count="122">
    <chartFormat chart="1" format="0" series="1">
      <pivotArea type="data" outline="0" fieldPosition="0">
        <references count="2">
          <reference field="4294967294" count="1" selected="0">
            <x v="0"/>
          </reference>
          <reference field="3" count="1" selected="0">
            <x v="0"/>
          </reference>
        </references>
      </pivotArea>
    </chartFormat>
    <chartFormat chart="1" format="1" series="1">
      <pivotArea type="data" outline="0" fieldPosition="0">
        <references count="2">
          <reference field="4294967294" count="1" selected="0">
            <x v="0"/>
          </reference>
          <reference field="3" count="1" selected="0">
            <x v="1"/>
          </reference>
        </references>
      </pivotArea>
    </chartFormat>
    <chartFormat chart="1" format="2" series="1">
      <pivotArea type="data" outline="0" fieldPosition="0">
        <references count="2">
          <reference field="4294967294" count="1" selected="0">
            <x v="0"/>
          </reference>
          <reference field="3" count="1" selected="0">
            <x v="2"/>
          </reference>
        </references>
      </pivotArea>
    </chartFormat>
    <chartFormat chart="1" format="3" series="1">
      <pivotArea type="data" outline="0" fieldPosition="0">
        <references count="2">
          <reference field="4294967294" count="1" selected="0">
            <x v="0"/>
          </reference>
          <reference field="3" count="1" selected="0">
            <x v="3"/>
          </reference>
        </references>
      </pivotArea>
    </chartFormat>
    <chartFormat chart="1" format="4" series="1">
      <pivotArea type="data" outline="0" fieldPosition="0">
        <references count="2">
          <reference field="4294967294" count="1" selected="0">
            <x v="0"/>
          </reference>
          <reference field="3" count="1" selected="0">
            <x v="4"/>
          </reference>
        </references>
      </pivotArea>
    </chartFormat>
    <chartFormat chart="1" format="5">
      <pivotArea type="data" outline="0" fieldPosition="0">
        <references count="3">
          <reference field="4294967294" count="1" selected="0">
            <x v="0"/>
          </reference>
          <reference field="2" count="1" selected="0">
            <x v="0"/>
          </reference>
          <reference field="3" count="1" selected="0">
            <x v="0"/>
          </reference>
        </references>
      </pivotArea>
    </chartFormat>
    <chartFormat chart="1" format="6">
      <pivotArea type="data" outline="0" fieldPosition="0">
        <references count="3">
          <reference field="4294967294" count="1" selected="0">
            <x v="0"/>
          </reference>
          <reference field="2" count="1" selected="0">
            <x v="1"/>
          </reference>
          <reference field="3" count="1" selected="0">
            <x v="0"/>
          </reference>
        </references>
      </pivotArea>
    </chartFormat>
    <chartFormat chart="1" format="7">
      <pivotArea type="data" outline="0" fieldPosition="0">
        <references count="3">
          <reference field="4294967294" count="1" selected="0">
            <x v="0"/>
          </reference>
          <reference field="2" count="1" selected="0">
            <x v="2"/>
          </reference>
          <reference field="3" count="1" selected="0">
            <x v="0"/>
          </reference>
        </references>
      </pivotArea>
    </chartFormat>
    <chartFormat chart="1" format="8">
      <pivotArea type="data" outline="0" fieldPosition="0">
        <references count="3">
          <reference field="4294967294" count="1" selected="0">
            <x v="0"/>
          </reference>
          <reference field="2" count="1" selected="0">
            <x v="3"/>
          </reference>
          <reference field="3" count="1" selected="0">
            <x v="0"/>
          </reference>
        </references>
      </pivotArea>
    </chartFormat>
    <chartFormat chart="1" format="9">
      <pivotArea type="data" outline="0" fieldPosition="0">
        <references count="3">
          <reference field="4294967294" count="1" selected="0">
            <x v="0"/>
          </reference>
          <reference field="2" count="1" selected="0">
            <x v="4"/>
          </reference>
          <reference field="3" count="1" selected="0">
            <x v="0"/>
          </reference>
        </references>
      </pivotArea>
    </chartFormat>
    <chartFormat chart="1" format="10">
      <pivotArea type="data" outline="0" fieldPosition="0">
        <references count="3">
          <reference field="4294967294" count="1" selected="0">
            <x v="0"/>
          </reference>
          <reference field="2" count="1" selected="0">
            <x v="0"/>
          </reference>
          <reference field="3" count="1" selected="0">
            <x v="1"/>
          </reference>
        </references>
      </pivotArea>
    </chartFormat>
    <chartFormat chart="1" format="11">
      <pivotArea type="data" outline="0" fieldPosition="0">
        <references count="3">
          <reference field="4294967294" count="1" selected="0">
            <x v="0"/>
          </reference>
          <reference field="2" count="1" selected="0">
            <x v="1"/>
          </reference>
          <reference field="3" count="1" selected="0">
            <x v="1"/>
          </reference>
        </references>
      </pivotArea>
    </chartFormat>
    <chartFormat chart="1" format="12">
      <pivotArea type="data" outline="0" fieldPosition="0">
        <references count="3">
          <reference field="4294967294" count="1" selected="0">
            <x v="0"/>
          </reference>
          <reference field="2" count="1" selected="0">
            <x v="2"/>
          </reference>
          <reference field="3" count="1" selected="0">
            <x v="1"/>
          </reference>
        </references>
      </pivotArea>
    </chartFormat>
    <chartFormat chart="1" format="13">
      <pivotArea type="data" outline="0" fieldPosition="0">
        <references count="3">
          <reference field="4294967294" count="1" selected="0">
            <x v="0"/>
          </reference>
          <reference field="2" count="1" selected="0">
            <x v="3"/>
          </reference>
          <reference field="3" count="1" selected="0">
            <x v="1"/>
          </reference>
        </references>
      </pivotArea>
    </chartFormat>
    <chartFormat chart="1" format="14">
      <pivotArea type="data" outline="0" fieldPosition="0">
        <references count="3">
          <reference field="4294967294" count="1" selected="0">
            <x v="0"/>
          </reference>
          <reference field="2" count="1" selected="0">
            <x v="4"/>
          </reference>
          <reference field="3" count="1" selected="0">
            <x v="1"/>
          </reference>
        </references>
      </pivotArea>
    </chartFormat>
    <chartFormat chart="1" format="15">
      <pivotArea type="data" outline="0" fieldPosition="0">
        <references count="3">
          <reference field="4294967294" count="1" selected="0">
            <x v="0"/>
          </reference>
          <reference field="2" count="1" selected="0">
            <x v="0"/>
          </reference>
          <reference field="3" count="1" selected="0">
            <x v="2"/>
          </reference>
        </references>
      </pivotArea>
    </chartFormat>
    <chartFormat chart="1" format="16">
      <pivotArea type="data" outline="0" fieldPosition="0">
        <references count="3">
          <reference field="4294967294" count="1" selected="0">
            <x v="0"/>
          </reference>
          <reference field="2" count="1" selected="0">
            <x v="1"/>
          </reference>
          <reference field="3" count="1" selected="0">
            <x v="2"/>
          </reference>
        </references>
      </pivotArea>
    </chartFormat>
    <chartFormat chart="1" format="17">
      <pivotArea type="data" outline="0" fieldPosition="0">
        <references count="3">
          <reference field="4294967294" count="1" selected="0">
            <x v="0"/>
          </reference>
          <reference field="2" count="1" selected="0">
            <x v="2"/>
          </reference>
          <reference field="3" count="1" selected="0">
            <x v="2"/>
          </reference>
        </references>
      </pivotArea>
    </chartFormat>
    <chartFormat chart="1" format="18">
      <pivotArea type="data" outline="0" fieldPosition="0">
        <references count="3">
          <reference field="4294967294" count="1" selected="0">
            <x v="0"/>
          </reference>
          <reference field="2" count="1" selected="0">
            <x v="3"/>
          </reference>
          <reference field="3" count="1" selected="0">
            <x v="2"/>
          </reference>
        </references>
      </pivotArea>
    </chartFormat>
    <chartFormat chart="1" format="19">
      <pivotArea type="data" outline="0" fieldPosition="0">
        <references count="3">
          <reference field="4294967294" count="1" selected="0">
            <x v="0"/>
          </reference>
          <reference field="2" count="1" selected="0">
            <x v="4"/>
          </reference>
          <reference field="3" count="1" selected="0">
            <x v="2"/>
          </reference>
        </references>
      </pivotArea>
    </chartFormat>
    <chartFormat chart="1" format="20">
      <pivotArea type="data" outline="0" fieldPosition="0">
        <references count="3">
          <reference field="4294967294" count="1" selected="0">
            <x v="0"/>
          </reference>
          <reference field="2" count="1" selected="0">
            <x v="0"/>
          </reference>
          <reference field="3" count="1" selected="0">
            <x v="3"/>
          </reference>
        </references>
      </pivotArea>
    </chartFormat>
    <chartFormat chart="1" format="21">
      <pivotArea type="data" outline="0" fieldPosition="0">
        <references count="3">
          <reference field="4294967294" count="1" selected="0">
            <x v="0"/>
          </reference>
          <reference field="2" count="1" selected="0">
            <x v="1"/>
          </reference>
          <reference field="3" count="1" selected="0">
            <x v="3"/>
          </reference>
        </references>
      </pivotArea>
    </chartFormat>
    <chartFormat chart="1" format="22">
      <pivotArea type="data" outline="0" fieldPosition="0">
        <references count="3">
          <reference field="4294967294" count="1" selected="0">
            <x v="0"/>
          </reference>
          <reference field="2" count="1" selected="0">
            <x v="2"/>
          </reference>
          <reference field="3" count="1" selected="0">
            <x v="3"/>
          </reference>
        </references>
      </pivotArea>
    </chartFormat>
    <chartFormat chart="1" format="23">
      <pivotArea type="data" outline="0" fieldPosition="0">
        <references count="3">
          <reference field="4294967294" count="1" selected="0">
            <x v="0"/>
          </reference>
          <reference field="2" count="1" selected="0">
            <x v="3"/>
          </reference>
          <reference field="3" count="1" selected="0">
            <x v="3"/>
          </reference>
        </references>
      </pivotArea>
    </chartFormat>
    <chartFormat chart="1" format="24">
      <pivotArea type="data" outline="0" fieldPosition="0">
        <references count="3">
          <reference field="4294967294" count="1" selected="0">
            <x v="0"/>
          </reference>
          <reference field="2" count="1" selected="0">
            <x v="4"/>
          </reference>
          <reference field="3" count="1" selected="0">
            <x v="3"/>
          </reference>
        </references>
      </pivotArea>
    </chartFormat>
    <chartFormat chart="1" format="25">
      <pivotArea type="data" outline="0" fieldPosition="0">
        <references count="3">
          <reference field="4294967294" count="1" selected="0">
            <x v="0"/>
          </reference>
          <reference field="2" count="1" selected="0">
            <x v="0"/>
          </reference>
          <reference field="3" count="1" selected="0">
            <x v="4"/>
          </reference>
        </references>
      </pivotArea>
    </chartFormat>
    <chartFormat chart="1" format="26">
      <pivotArea type="data" outline="0" fieldPosition="0">
        <references count="3">
          <reference field="4294967294" count="1" selected="0">
            <x v="0"/>
          </reference>
          <reference field="2" count="1" selected="0">
            <x v="1"/>
          </reference>
          <reference field="3" count="1" selected="0">
            <x v="4"/>
          </reference>
        </references>
      </pivotArea>
    </chartFormat>
    <chartFormat chart="1" format="27">
      <pivotArea type="data" outline="0" fieldPosition="0">
        <references count="3">
          <reference field="4294967294" count="1" selected="0">
            <x v="0"/>
          </reference>
          <reference field="2" count="1" selected="0">
            <x v="2"/>
          </reference>
          <reference field="3" count="1" selected="0">
            <x v="4"/>
          </reference>
        </references>
      </pivotArea>
    </chartFormat>
    <chartFormat chart="1" format="28">
      <pivotArea type="data" outline="0" fieldPosition="0">
        <references count="3">
          <reference field="4294967294" count="1" selected="0">
            <x v="0"/>
          </reference>
          <reference field="2" count="1" selected="0">
            <x v="3"/>
          </reference>
          <reference field="3" count="1" selected="0">
            <x v="4"/>
          </reference>
        </references>
      </pivotArea>
    </chartFormat>
    <chartFormat chart="1" format="29">
      <pivotArea type="data" outline="0" fieldPosition="0">
        <references count="3">
          <reference field="4294967294" count="1" selected="0">
            <x v="0"/>
          </reference>
          <reference field="2" count="1" selected="0">
            <x v="4"/>
          </reference>
          <reference field="3" count="1" selected="0">
            <x v="4"/>
          </reference>
        </references>
      </pivotArea>
    </chartFormat>
    <chartFormat chart="10" format="90" series="1">
      <pivotArea type="data" outline="0" fieldPosition="0">
        <references count="2">
          <reference field="4294967294" count="1" selected="0">
            <x v="0"/>
          </reference>
          <reference field="3" count="1" selected="0">
            <x v="0"/>
          </reference>
        </references>
      </pivotArea>
    </chartFormat>
    <chartFormat chart="10" format="91">
      <pivotArea type="data" outline="0" fieldPosition="0">
        <references count="3">
          <reference field="4294967294" count="1" selected="0">
            <x v="0"/>
          </reference>
          <reference field="2" count="1" selected="0">
            <x v="0"/>
          </reference>
          <reference field="3" count="1" selected="0">
            <x v="0"/>
          </reference>
        </references>
      </pivotArea>
    </chartFormat>
    <chartFormat chart="10" format="92">
      <pivotArea type="data" outline="0" fieldPosition="0">
        <references count="3">
          <reference field="4294967294" count="1" selected="0">
            <x v="0"/>
          </reference>
          <reference field="2" count="1" selected="0">
            <x v="1"/>
          </reference>
          <reference field="3" count="1" selected="0">
            <x v="0"/>
          </reference>
        </references>
      </pivotArea>
    </chartFormat>
    <chartFormat chart="10" format="93">
      <pivotArea type="data" outline="0" fieldPosition="0">
        <references count="3">
          <reference field="4294967294" count="1" selected="0">
            <x v="0"/>
          </reference>
          <reference field="2" count="1" selected="0">
            <x v="2"/>
          </reference>
          <reference field="3" count="1" selected="0">
            <x v="0"/>
          </reference>
        </references>
      </pivotArea>
    </chartFormat>
    <chartFormat chart="10" format="94">
      <pivotArea type="data" outline="0" fieldPosition="0">
        <references count="3">
          <reference field="4294967294" count="1" selected="0">
            <x v="0"/>
          </reference>
          <reference field="2" count="1" selected="0">
            <x v="3"/>
          </reference>
          <reference field="3" count="1" selected="0">
            <x v="0"/>
          </reference>
        </references>
      </pivotArea>
    </chartFormat>
    <chartFormat chart="10" format="95">
      <pivotArea type="data" outline="0" fieldPosition="0">
        <references count="3">
          <reference field="4294967294" count="1" selected="0">
            <x v="0"/>
          </reference>
          <reference field="2" count="1" selected="0">
            <x v="4"/>
          </reference>
          <reference field="3" count="1" selected="0">
            <x v="0"/>
          </reference>
        </references>
      </pivotArea>
    </chartFormat>
    <chartFormat chart="10" format="96" series="1">
      <pivotArea type="data" outline="0" fieldPosition="0">
        <references count="2">
          <reference field="4294967294" count="1" selected="0">
            <x v="0"/>
          </reference>
          <reference field="3" count="1" selected="0">
            <x v="1"/>
          </reference>
        </references>
      </pivotArea>
    </chartFormat>
    <chartFormat chart="10" format="97">
      <pivotArea type="data" outline="0" fieldPosition="0">
        <references count="3">
          <reference field="4294967294" count="1" selected="0">
            <x v="0"/>
          </reference>
          <reference field="2" count="1" selected="0">
            <x v="0"/>
          </reference>
          <reference field="3" count="1" selected="0">
            <x v="1"/>
          </reference>
        </references>
      </pivotArea>
    </chartFormat>
    <chartFormat chart="10" format="98">
      <pivotArea type="data" outline="0" fieldPosition="0">
        <references count="3">
          <reference field="4294967294" count="1" selected="0">
            <x v="0"/>
          </reference>
          <reference field="2" count="1" selected="0">
            <x v="1"/>
          </reference>
          <reference field="3" count="1" selected="0">
            <x v="1"/>
          </reference>
        </references>
      </pivotArea>
    </chartFormat>
    <chartFormat chart="10" format="99">
      <pivotArea type="data" outline="0" fieldPosition="0">
        <references count="3">
          <reference field="4294967294" count="1" selected="0">
            <x v="0"/>
          </reference>
          <reference field="2" count="1" selected="0">
            <x v="2"/>
          </reference>
          <reference field="3" count="1" selected="0">
            <x v="1"/>
          </reference>
        </references>
      </pivotArea>
    </chartFormat>
    <chartFormat chart="10" format="100">
      <pivotArea type="data" outline="0" fieldPosition="0">
        <references count="3">
          <reference field="4294967294" count="1" selected="0">
            <x v="0"/>
          </reference>
          <reference field="2" count="1" selected="0">
            <x v="3"/>
          </reference>
          <reference field="3" count="1" selected="0">
            <x v="1"/>
          </reference>
        </references>
      </pivotArea>
    </chartFormat>
    <chartFormat chart="10" format="101">
      <pivotArea type="data" outline="0" fieldPosition="0">
        <references count="3">
          <reference field="4294967294" count="1" selected="0">
            <x v="0"/>
          </reference>
          <reference field="2" count="1" selected="0">
            <x v="4"/>
          </reference>
          <reference field="3" count="1" selected="0">
            <x v="1"/>
          </reference>
        </references>
      </pivotArea>
    </chartFormat>
    <chartFormat chart="10" format="102" series="1">
      <pivotArea type="data" outline="0" fieldPosition="0">
        <references count="2">
          <reference field="4294967294" count="1" selected="0">
            <x v="0"/>
          </reference>
          <reference field="3" count="1" selected="0">
            <x v="2"/>
          </reference>
        </references>
      </pivotArea>
    </chartFormat>
    <chartFormat chart="10" format="103">
      <pivotArea type="data" outline="0" fieldPosition="0">
        <references count="3">
          <reference field="4294967294" count="1" selected="0">
            <x v="0"/>
          </reference>
          <reference field="2" count="1" selected="0">
            <x v="0"/>
          </reference>
          <reference field="3" count="1" selected="0">
            <x v="2"/>
          </reference>
        </references>
      </pivotArea>
    </chartFormat>
    <chartFormat chart="10" format="104">
      <pivotArea type="data" outline="0" fieldPosition="0">
        <references count="3">
          <reference field="4294967294" count="1" selected="0">
            <x v="0"/>
          </reference>
          <reference field="2" count="1" selected="0">
            <x v="1"/>
          </reference>
          <reference field="3" count="1" selected="0">
            <x v="2"/>
          </reference>
        </references>
      </pivotArea>
    </chartFormat>
    <chartFormat chart="10" format="105">
      <pivotArea type="data" outline="0" fieldPosition="0">
        <references count="3">
          <reference field="4294967294" count="1" selected="0">
            <x v="0"/>
          </reference>
          <reference field="2" count="1" selected="0">
            <x v="2"/>
          </reference>
          <reference field="3" count="1" selected="0">
            <x v="2"/>
          </reference>
        </references>
      </pivotArea>
    </chartFormat>
    <chartFormat chart="10" format="106">
      <pivotArea type="data" outline="0" fieldPosition="0">
        <references count="3">
          <reference field="4294967294" count="1" selected="0">
            <x v="0"/>
          </reference>
          <reference field="2" count="1" selected="0">
            <x v="3"/>
          </reference>
          <reference field="3" count="1" selected="0">
            <x v="2"/>
          </reference>
        </references>
      </pivotArea>
    </chartFormat>
    <chartFormat chart="10" format="107">
      <pivotArea type="data" outline="0" fieldPosition="0">
        <references count="3">
          <reference field="4294967294" count="1" selected="0">
            <x v="0"/>
          </reference>
          <reference field="2" count="1" selected="0">
            <x v="4"/>
          </reference>
          <reference field="3" count="1" selected="0">
            <x v="2"/>
          </reference>
        </references>
      </pivotArea>
    </chartFormat>
    <chartFormat chart="10" format="108" series="1">
      <pivotArea type="data" outline="0" fieldPosition="0">
        <references count="2">
          <reference field="4294967294" count="1" selected="0">
            <x v="0"/>
          </reference>
          <reference field="3" count="1" selected="0">
            <x v="3"/>
          </reference>
        </references>
      </pivotArea>
    </chartFormat>
    <chartFormat chart="10" format="109">
      <pivotArea type="data" outline="0" fieldPosition="0">
        <references count="3">
          <reference field="4294967294" count="1" selected="0">
            <x v="0"/>
          </reference>
          <reference field="2" count="1" selected="0">
            <x v="0"/>
          </reference>
          <reference field="3" count="1" selected="0">
            <x v="3"/>
          </reference>
        </references>
      </pivotArea>
    </chartFormat>
    <chartFormat chart="10" format="110">
      <pivotArea type="data" outline="0" fieldPosition="0">
        <references count="3">
          <reference field="4294967294" count="1" selected="0">
            <x v="0"/>
          </reference>
          <reference field="2" count="1" selected="0">
            <x v="1"/>
          </reference>
          <reference field="3" count="1" selected="0">
            <x v="3"/>
          </reference>
        </references>
      </pivotArea>
    </chartFormat>
    <chartFormat chart="10" format="111">
      <pivotArea type="data" outline="0" fieldPosition="0">
        <references count="3">
          <reference field="4294967294" count="1" selected="0">
            <x v="0"/>
          </reference>
          <reference field="2" count="1" selected="0">
            <x v="2"/>
          </reference>
          <reference field="3" count="1" selected="0">
            <x v="3"/>
          </reference>
        </references>
      </pivotArea>
    </chartFormat>
    <chartFormat chart="10" format="112">
      <pivotArea type="data" outline="0" fieldPosition="0">
        <references count="3">
          <reference field="4294967294" count="1" selected="0">
            <x v="0"/>
          </reference>
          <reference field="2" count="1" selected="0">
            <x v="3"/>
          </reference>
          <reference field="3" count="1" selected="0">
            <x v="3"/>
          </reference>
        </references>
      </pivotArea>
    </chartFormat>
    <chartFormat chart="10" format="113">
      <pivotArea type="data" outline="0" fieldPosition="0">
        <references count="3">
          <reference field="4294967294" count="1" selected="0">
            <x v="0"/>
          </reference>
          <reference field="2" count="1" selected="0">
            <x v="4"/>
          </reference>
          <reference field="3" count="1" selected="0">
            <x v="3"/>
          </reference>
        </references>
      </pivotArea>
    </chartFormat>
    <chartFormat chart="10" format="114" series="1">
      <pivotArea type="data" outline="0" fieldPosition="0">
        <references count="2">
          <reference field="4294967294" count="1" selected="0">
            <x v="0"/>
          </reference>
          <reference field="3" count="1" selected="0">
            <x v="4"/>
          </reference>
        </references>
      </pivotArea>
    </chartFormat>
    <chartFormat chart="10" format="115">
      <pivotArea type="data" outline="0" fieldPosition="0">
        <references count="3">
          <reference field="4294967294" count="1" selected="0">
            <x v="0"/>
          </reference>
          <reference field="2" count="1" selected="0">
            <x v="0"/>
          </reference>
          <reference field="3" count="1" selected="0">
            <x v="4"/>
          </reference>
        </references>
      </pivotArea>
    </chartFormat>
    <chartFormat chart="10" format="116">
      <pivotArea type="data" outline="0" fieldPosition="0">
        <references count="3">
          <reference field="4294967294" count="1" selected="0">
            <x v="0"/>
          </reference>
          <reference field="2" count="1" selected="0">
            <x v="1"/>
          </reference>
          <reference field="3" count="1" selected="0">
            <x v="4"/>
          </reference>
        </references>
      </pivotArea>
    </chartFormat>
    <chartFormat chart="10" format="117">
      <pivotArea type="data" outline="0" fieldPosition="0">
        <references count="3">
          <reference field="4294967294" count="1" selected="0">
            <x v="0"/>
          </reference>
          <reference field="2" count="1" selected="0">
            <x v="2"/>
          </reference>
          <reference field="3" count="1" selected="0">
            <x v="4"/>
          </reference>
        </references>
      </pivotArea>
    </chartFormat>
    <chartFormat chart="10" format="118">
      <pivotArea type="data" outline="0" fieldPosition="0">
        <references count="3">
          <reference field="4294967294" count="1" selected="0">
            <x v="0"/>
          </reference>
          <reference field="2" count="1" selected="0">
            <x v="3"/>
          </reference>
          <reference field="3" count="1" selected="0">
            <x v="4"/>
          </reference>
        </references>
      </pivotArea>
    </chartFormat>
    <chartFormat chart="10" format="119">
      <pivotArea type="data" outline="0" fieldPosition="0">
        <references count="3">
          <reference field="4294967294" count="1" selected="0">
            <x v="0"/>
          </reference>
          <reference field="2" count="1" selected="0">
            <x v="4"/>
          </reference>
          <reference field="3" count="1" selected="0">
            <x v="4"/>
          </reference>
        </references>
      </pivotArea>
    </chartFormat>
    <chartFormat chart="11" format="120" series="1">
      <pivotArea type="data" outline="0" fieldPosition="0">
        <references count="2">
          <reference field="4294967294" count="1" selected="0">
            <x v="0"/>
          </reference>
          <reference field="3" count="1" selected="0">
            <x v="0"/>
          </reference>
        </references>
      </pivotArea>
    </chartFormat>
    <chartFormat chart="11" format="121">
      <pivotArea type="data" outline="0" fieldPosition="0">
        <references count="3">
          <reference field="4294967294" count="1" selected="0">
            <x v="0"/>
          </reference>
          <reference field="2" count="1" selected="0">
            <x v="0"/>
          </reference>
          <reference field="3" count="1" selected="0">
            <x v="0"/>
          </reference>
        </references>
      </pivotArea>
    </chartFormat>
    <chartFormat chart="11" format="122">
      <pivotArea type="data" outline="0" fieldPosition="0">
        <references count="3">
          <reference field="4294967294" count="1" selected="0">
            <x v="0"/>
          </reference>
          <reference field="2" count="1" selected="0">
            <x v="1"/>
          </reference>
          <reference field="3" count="1" selected="0">
            <x v="0"/>
          </reference>
        </references>
      </pivotArea>
    </chartFormat>
    <chartFormat chart="11" format="123">
      <pivotArea type="data" outline="0" fieldPosition="0">
        <references count="3">
          <reference field="4294967294" count="1" selected="0">
            <x v="0"/>
          </reference>
          <reference field="2" count="1" selected="0">
            <x v="2"/>
          </reference>
          <reference field="3" count="1" selected="0">
            <x v="0"/>
          </reference>
        </references>
      </pivotArea>
    </chartFormat>
    <chartFormat chart="11" format="124">
      <pivotArea type="data" outline="0" fieldPosition="0">
        <references count="3">
          <reference field="4294967294" count="1" selected="0">
            <x v="0"/>
          </reference>
          <reference field="2" count="1" selected="0">
            <x v="3"/>
          </reference>
          <reference field="3" count="1" selected="0">
            <x v="0"/>
          </reference>
        </references>
      </pivotArea>
    </chartFormat>
    <chartFormat chart="11" format="125">
      <pivotArea type="data" outline="0" fieldPosition="0">
        <references count="3">
          <reference field="4294967294" count="1" selected="0">
            <x v="0"/>
          </reference>
          <reference field="2" count="1" selected="0">
            <x v="4"/>
          </reference>
          <reference field="3" count="1" selected="0">
            <x v="0"/>
          </reference>
        </references>
      </pivotArea>
    </chartFormat>
    <chartFormat chart="11" format="126" series="1">
      <pivotArea type="data" outline="0" fieldPosition="0">
        <references count="2">
          <reference field="4294967294" count="1" selected="0">
            <x v="0"/>
          </reference>
          <reference field="3" count="1" selected="0">
            <x v="1"/>
          </reference>
        </references>
      </pivotArea>
    </chartFormat>
    <chartFormat chart="11" format="127">
      <pivotArea type="data" outline="0" fieldPosition="0">
        <references count="3">
          <reference field="4294967294" count="1" selected="0">
            <x v="0"/>
          </reference>
          <reference field="2" count="1" selected="0">
            <x v="0"/>
          </reference>
          <reference field="3" count="1" selected="0">
            <x v="1"/>
          </reference>
        </references>
      </pivotArea>
    </chartFormat>
    <chartFormat chart="11" format="128">
      <pivotArea type="data" outline="0" fieldPosition="0">
        <references count="3">
          <reference field="4294967294" count="1" selected="0">
            <x v="0"/>
          </reference>
          <reference field="2" count="1" selected="0">
            <x v="1"/>
          </reference>
          <reference field="3" count="1" selected="0">
            <x v="1"/>
          </reference>
        </references>
      </pivotArea>
    </chartFormat>
    <chartFormat chart="11" format="129">
      <pivotArea type="data" outline="0" fieldPosition="0">
        <references count="3">
          <reference field="4294967294" count="1" selected="0">
            <x v="0"/>
          </reference>
          <reference field="2" count="1" selected="0">
            <x v="2"/>
          </reference>
          <reference field="3" count="1" selected="0">
            <x v="1"/>
          </reference>
        </references>
      </pivotArea>
    </chartFormat>
    <chartFormat chart="11" format="130">
      <pivotArea type="data" outline="0" fieldPosition="0">
        <references count="3">
          <reference field="4294967294" count="1" selected="0">
            <x v="0"/>
          </reference>
          <reference field="2" count="1" selected="0">
            <x v="3"/>
          </reference>
          <reference field="3" count="1" selected="0">
            <x v="1"/>
          </reference>
        </references>
      </pivotArea>
    </chartFormat>
    <chartFormat chart="11" format="131">
      <pivotArea type="data" outline="0" fieldPosition="0">
        <references count="3">
          <reference field="4294967294" count="1" selected="0">
            <x v="0"/>
          </reference>
          <reference field="2" count="1" selected="0">
            <x v="4"/>
          </reference>
          <reference field="3" count="1" selected="0">
            <x v="1"/>
          </reference>
        </references>
      </pivotArea>
    </chartFormat>
    <chartFormat chart="11" format="132" series="1">
      <pivotArea type="data" outline="0" fieldPosition="0">
        <references count="2">
          <reference field="4294967294" count="1" selected="0">
            <x v="0"/>
          </reference>
          <reference field="3" count="1" selected="0">
            <x v="2"/>
          </reference>
        </references>
      </pivotArea>
    </chartFormat>
    <chartFormat chart="11" format="133">
      <pivotArea type="data" outline="0" fieldPosition="0">
        <references count="3">
          <reference field="4294967294" count="1" selected="0">
            <x v="0"/>
          </reference>
          <reference field="2" count="1" selected="0">
            <x v="0"/>
          </reference>
          <reference field="3" count="1" selected="0">
            <x v="2"/>
          </reference>
        </references>
      </pivotArea>
    </chartFormat>
    <chartFormat chart="11" format="134">
      <pivotArea type="data" outline="0" fieldPosition="0">
        <references count="3">
          <reference field="4294967294" count="1" selected="0">
            <x v="0"/>
          </reference>
          <reference field="2" count="1" selected="0">
            <x v="1"/>
          </reference>
          <reference field="3" count="1" selected="0">
            <x v="2"/>
          </reference>
        </references>
      </pivotArea>
    </chartFormat>
    <chartFormat chart="11" format="135">
      <pivotArea type="data" outline="0" fieldPosition="0">
        <references count="3">
          <reference field="4294967294" count="1" selected="0">
            <x v="0"/>
          </reference>
          <reference field="2" count="1" selected="0">
            <x v="2"/>
          </reference>
          <reference field="3" count="1" selected="0">
            <x v="2"/>
          </reference>
        </references>
      </pivotArea>
    </chartFormat>
    <chartFormat chart="11" format="136">
      <pivotArea type="data" outline="0" fieldPosition="0">
        <references count="3">
          <reference field="4294967294" count="1" selected="0">
            <x v="0"/>
          </reference>
          <reference field="2" count="1" selected="0">
            <x v="3"/>
          </reference>
          <reference field="3" count="1" selected="0">
            <x v="2"/>
          </reference>
        </references>
      </pivotArea>
    </chartFormat>
    <chartFormat chart="11" format="137">
      <pivotArea type="data" outline="0" fieldPosition="0">
        <references count="3">
          <reference field="4294967294" count="1" selected="0">
            <x v="0"/>
          </reference>
          <reference field="2" count="1" selected="0">
            <x v="4"/>
          </reference>
          <reference field="3" count="1" selected="0">
            <x v="2"/>
          </reference>
        </references>
      </pivotArea>
    </chartFormat>
    <chartFormat chart="11" format="138" series="1">
      <pivotArea type="data" outline="0" fieldPosition="0">
        <references count="2">
          <reference field="4294967294" count="1" selected="0">
            <x v="0"/>
          </reference>
          <reference field="3" count="1" selected="0">
            <x v="3"/>
          </reference>
        </references>
      </pivotArea>
    </chartFormat>
    <chartFormat chart="11" format="139">
      <pivotArea type="data" outline="0" fieldPosition="0">
        <references count="3">
          <reference field="4294967294" count="1" selected="0">
            <x v="0"/>
          </reference>
          <reference field="2" count="1" selected="0">
            <x v="0"/>
          </reference>
          <reference field="3" count="1" selected="0">
            <x v="3"/>
          </reference>
        </references>
      </pivotArea>
    </chartFormat>
    <chartFormat chart="11" format="140">
      <pivotArea type="data" outline="0" fieldPosition="0">
        <references count="3">
          <reference field="4294967294" count="1" selected="0">
            <x v="0"/>
          </reference>
          <reference field="2" count="1" selected="0">
            <x v="1"/>
          </reference>
          <reference field="3" count="1" selected="0">
            <x v="3"/>
          </reference>
        </references>
      </pivotArea>
    </chartFormat>
    <chartFormat chart="11" format="141">
      <pivotArea type="data" outline="0" fieldPosition="0">
        <references count="3">
          <reference field="4294967294" count="1" selected="0">
            <x v="0"/>
          </reference>
          <reference field="2" count="1" selected="0">
            <x v="2"/>
          </reference>
          <reference field="3" count="1" selected="0">
            <x v="3"/>
          </reference>
        </references>
      </pivotArea>
    </chartFormat>
    <chartFormat chart="11" format="142">
      <pivotArea type="data" outline="0" fieldPosition="0">
        <references count="3">
          <reference field="4294967294" count="1" selected="0">
            <x v="0"/>
          </reference>
          <reference field="2" count="1" selected="0">
            <x v="3"/>
          </reference>
          <reference field="3" count="1" selected="0">
            <x v="3"/>
          </reference>
        </references>
      </pivotArea>
    </chartFormat>
    <chartFormat chart="11" format="143">
      <pivotArea type="data" outline="0" fieldPosition="0">
        <references count="3">
          <reference field="4294967294" count="1" selected="0">
            <x v="0"/>
          </reference>
          <reference field="2" count="1" selected="0">
            <x v="4"/>
          </reference>
          <reference field="3" count="1" selected="0">
            <x v="3"/>
          </reference>
        </references>
      </pivotArea>
    </chartFormat>
    <chartFormat chart="11" format="144" series="1">
      <pivotArea type="data" outline="0" fieldPosition="0">
        <references count="2">
          <reference field="4294967294" count="1" selected="0">
            <x v="0"/>
          </reference>
          <reference field="3" count="1" selected="0">
            <x v="4"/>
          </reference>
        </references>
      </pivotArea>
    </chartFormat>
    <chartFormat chart="11" format="145">
      <pivotArea type="data" outline="0" fieldPosition="0">
        <references count="3">
          <reference field="4294967294" count="1" selected="0">
            <x v="0"/>
          </reference>
          <reference field="2" count="1" selected="0">
            <x v="0"/>
          </reference>
          <reference field="3" count="1" selected="0">
            <x v="4"/>
          </reference>
        </references>
      </pivotArea>
    </chartFormat>
    <chartFormat chart="11" format="146">
      <pivotArea type="data" outline="0" fieldPosition="0">
        <references count="3">
          <reference field="4294967294" count="1" selected="0">
            <x v="0"/>
          </reference>
          <reference field="2" count="1" selected="0">
            <x v="1"/>
          </reference>
          <reference field="3" count="1" selected="0">
            <x v="4"/>
          </reference>
        </references>
      </pivotArea>
    </chartFormat>
    <chartFormat chart="11" format="147">
      <pivotArea type="data" outline="0" fieldPosition="0">
        <references count="3">
          <reference field="4294967294" count="1" selected="0">
            <x v="0"/>
          </reference>
          <reference field="2" count="1" selected="0">
            <x v="2"/>
          </reference>
          <reference field="3" count="1" selected="0">
            <x v="4"/>
          </reference>
        </references>
      </pivotArea>
    </chartFormat>
    <chartFormat chart="11" format="148">
      <pivotArea type="data" outline="0" fieldPosition="0">
        <references count="3">
          <reference field="4294967294" count="1" selected="0">
            <x v="0"/>
          </reference>
          <reference field="2" count="1" selected="0">
            <x v="3"/>
          </reference>
          <reference field="3" count="1" selected="0">
            <x v="4"/>
          </reference>
        </references>
      </pivotArea>
    </chartFormat>
    <chartFormat chart="11" format="149">
      <pivotArea type="data" outline="0" fieldPosition="0">
        <references count="3">
          <reference field="4294967294" count="1" selected="0">
            <x v="0"/>
          </reference>
          <reference field="2" count="1" selected="0">
            <x v="4"/>
          </reference>
          <reference field="3" count="1" selected="0">
            <x v="4"/>
          </reference>
        </references>
      </pivotArea>
    </chartFormat>
    <chartFormat chart="12" format="120" series="1">
      <pivotArea type="data" outline="0" fieldPosition="0">
        <references count="2">
          <reference field="4294967294" count="1" selected="0">
            <x v="0"/>
          </reference>
          <reference field="3" count="1" selected="0">
            <x v="0"/>
          </reference>
        </references>
      </pivotArea>
    </chartFormat>
    <chartFormat chart="12" format="121">
      <pivotArea type="data" outline="0" fieldPosition="0">
        <references count="3">
          <reference field="4294967294" count="1" selected="0">
            <x v="0"/>
          </reference>
          <reference field="2" count="1" selected="0">
            <x v="0"/>
          </reference>
          <reference field="3" count="1" selected="0">
            <x v="0"/>
          </reference>
        </references>
      </pivotArea>
    </chartFormat>
    <chartFormat chart="12" format="122">
      <pivotArea type="data" outline="0" fieldPosition="0">
        <references count="3">
          <reference field="4294967294" count="1" selected="0">
            <x v="0"/>
          </reference>
          <reference field="2" count="1" selected="0">
            <x v="1"/>
          </reference>
          <reference field="3" count="1" selected="0">
            <x v="0"/>
          </reference>
        </references>
      </pivotArea>
    </chartFormat>
    <chartFormat chart="12" format="123">
      <pivotArea type="data" outline="0" fieldPosition="0">
        <references count="3">
          <reference field="4294967294" count="1" selected="0">
            <x v="0"/>
          </reference>
          <reference field="2" count="1" selected="0">
            <x v="2"/>
          </reference>
          <reference field="3" count="1" selected="0">
            <x v="0"/>
          </reference>
        </references>
      </pivotArea>
    </chartFormat>
    <chartFormat chart="12" format="124">
      <pivotArea type="data" outline="0" fieldPosition="0">
        <references count="3">
          <reference field="4294967294" count="1" selected="0">
            <x v="0"/>
          </reference>
          <reference field="2" count="1" selected="0">
            <x v="3"/>
          </reference>
          <reference field="3" count="1" selected="0">
            <x v="0"/>
          </reference>
        </references>
      </pivotArea>
    </chartFormat>
    <chartFormat chart="12" format="125">
      <pivotArea type="data" outline="0" fieldPosition="0">
        <references count="3">
          <reference field="4294967294" count="1" selected="0">
            <x v="0"/>
          </reference>
          <reference field="2" count="1" selected="0">
            <x v="4"/>
          </reference>
          <reference field="3" count="1" selected="0">
            <x v="0"/>
          </reference>
        </references>
      </pivotArea>
    </chartFormat>
    <chartFormat chart="12" format="126" series="1">
      <pivotArea type="data" outline="0" fieldPosition="0">
        <references count="2">
          <reference field="4294967294" count="1" selected="0">
            <x v="0"/>
          </reference>
          <reference field="3" count="1" selected="0">
            <x v="1"/>
          </reference>
        </references>
      </pivotArea>
    </chartFormat>
    <chartFormat chart="12" format="127">
      <pivotArea type="data" outline="0" fieldPosition="0">
        <references count="3">
          <reference field="4294967294" count="1" selected="0">
            <x v="0"/>
          </reference>
          <reference field="2" count="1" selected="0">
            <x v="0"/>
          </reference>
          <reference field="3" count="1" selected="0">
            <x v="1"/>
          </reference>
        </references>
      </pivotArea>
    </chartFormat>
    <chartFormat chart="12" format="128">
      <pivotArea type="data" outline="0" fieldPosition="0">
        <references count="3">
          <reference field="4294967294" count="1" selected="0">
            <x v="0"/>
          </reference>
          <reference field="2" count="1" selected="0">
            <x v="1"/>
          </reference>
          <reference field="3" count="1" selected="0">
            <x v="1"/>
          </reference>
        </references>
      </pivotArea>
    </chartFormat>
    <chartFormat chart="12" format="129">
      <pivotArea type="data" outline="0" fieldPosition="0">
        <references count="3">
          <reference field="4294967294" count="1" selected="0">
            <x v="0"/>
          </reference>
          <reference field="2" count="1" selected="0">
            <x v="2"/>
          </reference>
          <reference field="3" count="1" selected="0">
            <x v="1"/>
          </reference>
        </references>
      </pivotArea>
    </chartFormat>
    <chartFormat chart="12" format="130">
      <pivotArea type="data" outline="0" fieldPosition="0">
        <references count="3">
          <reference field="4294967294" count="1" selected="0">
            <x v="0"/>
          </reference>
          <reference field="2" count="1" selected="0">
            <x v="3"/>
          </reference>
          <reference field="3" count="1" selected="0">
            <x v="1"/>
          </reference>
        </references>
      </pivotArea>
    </chartFormat>
    <chartFormat chart="12" format="131">
      <pivotArea type="data" outline="0" fieldPosition="0">
        <references count="3">
          <reference field="4294967294" count="1" selected="0">
            <x v="0"/>
          </reference>
          <reference field="2" count="1" selected="0">
            <x v="4"/>
          </reference>
          <reference field="3" count="1" selected="0">
            <x v="1"/>
          </reference>
        </references>
      </pivotArea>
    </chartFormat>
    <chartFormat chart="12" format="132" series="1">
      <pivotArea type="data" outline="0" fieldPosition="0">
        <references count="2">
          <reference field="4294967294" count="1" selected="0">
            <x v="0"/>
          </reference>
          <reference field="3" count="1" selected="0">
            <x v="2"/>
          </reference>
        </references>
      </pivotArea>
    </chartFormat>
    <chartFormat chart="12" format="133">
      <pivotArea type="data" outline="0" fieldPosition="0">
        <references count="3">
          <reference field="4294967294" count="1" selected="0">
            <x v="0"/>
          </reference>
          <reference field="2" count="1" selected="0">
            <x v="0"/>
          </reference>
          <reference field="3" count="1" selected="0">
            <x v="2"/>
          </reference>
        </references>
      </pivotArea>
    </chartFormat>
    <chartFormat chart="12" format="134">
      <pivotArea type="data" outline="0" fieldPosition="0">
        <references count="3">
          <reference field="4294967294" count="1" selected="0">
            <x v="0"/>
          </reference>
          <reference field="2" count="1" selected="0">
            <x v="1"/>
          </reference>
          <reference field="3" count="1" selected="0">
            <x v="2"/>
          </reference>
        </references>
      </pivotArea>
    </chartFormat>
    <chartFormat chart="12" format="135">
      <pivotArea type="data" outline="0" fieldPosition="0">
        <references count="3">
          <reference field="4294967294" count="1" selected="0">
            <x v="0"/>
          </reference>
          <reference field="2" count="1" selected="0">
            <x v="2"/>
          </reference>
          <reference field="3" count="1" selected="0">
            <x v="2"/>
          </reference>
        </references>
      </pivotArea>
    </chartFormat>
    <chartFormat chart="12" format="136">
      <pivotArea type="data" outline="0" fieldPosition="0">
        <references count="3">
          <reference field="4294967294" count="1" selected="0">
            <x v="0"/>
          </reference>
          <reference field="2" count="1" selected="0">
            <x v="3"/>
          </reference>
          <reference field="3" count="1" selected="0">
            <x v="2"/>
          </reference>
        </references>
      </pivotArea>
    </chartFormat>
    <chartFormat chart="12" format="137">
      <pivotArea type="data" outline="0" fieldPosition="0">
        <references count="3">
          <reference field="4294967294" count="1" selected="0">
            <x v="0"/>
          </reference>
          <reference field="2" count="1" selected="0">
            <x v="4"/>
          </reference>
          <reference field="3" count="1" selected="0">
            <x v="2"/>
          </reference>
        </references>
      </pivotArea>
    </chartFormat>
    <chartFormat chart="12" format="138" series="1">
      <pivotArea type="data" outline="0" fieldPosition="0">
        <references count="2">
          <reference field="4294967294" count="1" selected="0">
            <x v="0"/>
          </reference>
          <reference field="3" count="1" selected="0">
            <x v="3"/>
          </reference>
        </references>
      </pivotArea>
    </chartFormat>
    <chartFormat chart="12" format="139">
      <pivotArea type="data" outline="0" fieldPosition="0">
        <references count="3">
          <reference field="4294967294" count="1" selected="0">
            <x v="0"/>
          </reference>
          <reference field="2" count="1" selected="0">
            <x v="0"/>
          </reference>
          <reference field="3" count="1" selected="0">
            <x v="3"/>
          </reference>
        </references>
      </pivotArea>
    </chartFormat>
    <chartFormat chart="12" format="140">
      <pivotArea type="data" outline="0" fieldPosition="0">
        <references count="3">
          <reference field="4294967294" count="1" selected="0">
            <x v="0"/>
          </reference>
          <reference field="2" count="1" selected="0">
            <x v="1"/>
          </reference>
          <reference field="3" count="1" selected="0">
            <x v="3"/>
          </reference>
        </references>
      </pivotArea>
    </chartFormat>
    <chartFormat chart="12" format="141">
      <pivotArea type="data" outline="0" fieldPosition="0">
        <references count="3">
          <reference field="4294967294" count="1" selected="0">
            <x v="0"/>
          </reference>
          <reference field="2" count="1" selected="0">
            <x v="2"/>
          </reference>
          <reference field="3" count="1" selected="0">
            <x v="3"/>
          </reference>
        </references>
      </pivotArea>
    </chartFormat>
    <chartFormat chart="12" format="142">
      <pivotArea type="data" outline="0" fieldPosition="0">
        <references count="3">
          <reference field="4294967294" count="1" selected="0">
            <x v="0"/>
          </reference>
          <reference field="2" count="1" selected="0">
            <x v="3"/>
          </reference>
          <reference field="3" count="1" selected="0">
            <x v="3"/>
          </reference>
        </references>
      </pivotArea>
    </chartFormat>
    <chartFormat chart="12" format="143">
      <pivotArea type="data" outline="0" fieldPosition="0">
        <references count="3">
          <reference field="4294967294" count="1" selected="0">
            <x v="0"/>
          </reference>
          <reference field="2" count="1" selected="0">
            <x v="4"/>
          </reference>
          <reference field="3" count="1" selected="0">
            <x v="3"/>
          </reference>
        </references>
      </pivotArea>
    </chartFormat>
    <chartFormat chart="12" format="144" series="1">
      <pivotArea type="data" outline="0" fieldPosition="0">
        <references count="2">
          <reference field="4294967294" count="1" selected="0">
            <x v="0"/>
          </reference>
          <reference field="3" count="1" selected="0">
            <x v="4"/>
          </reference>
        </references>
      </pivotArea>
    </chartFormat>
    <chartFormat chart="12" format="145">
      <pivotArea type="data" outline="0" fieldPosition="0">
        <references count="3">
          <reference field="4294967294" count="1" selected="0">
            <x v="0"/>
          </reference>
          <reference field="2" count="1" selected="0">
            <x v="0"/>
          </reference>
          <reference field="3" count="1" selected="0">
            <x v="4"/>
          </reference>
        </references>
      </pivotArea>
    </chartFormat>
    <chartFormat chart="12" format="146">
      <pivotArea type="data" outline="0" fieldPosition="0">
        <references count="3">
          <reference field="4294967294" count="1" selected="0">
            <x v="0"/>
          </reference>
          <reference field="2" count="1" selected="0">
            <x v="1"/>
          </reference>
          <reference field="3" count="1" selected="0">
            <x v="4"/>
          </reference>
        </references>
      </pivotArea>
    </chartFormat>
    <chartFormat chart="12" format="147">
      <pivotArea type="data" outline="0" fieldPosition="0">
        <references count="3">
          <reference field="4294967294" count="1" selected="0">
            <x v="0"/>
          </reference>
          <reference field="2" count="1" selected="0">
            <x v="2"/>
          </reference>
          <reference field="3" count="1" selected="0">
            <x v="4"/>
          </reference>
        </references>
      </pivotArea>
    </chartFormat>
    <chartFormat chart="12" format="148">
      <pivotArea type="data" outline="0" fieldPosition="0">
        <references count="3">
          <reference field="4294967294" count="1" selected="0">
            <x v="0"/>
          </reference>
          <reference field="2" count="1" selected="0">
            <x v="3"/>
          </reference>
          <reference field="3" count="1" selected="0">
            <x v="4"/>
          </reference>
        </references>
      </pivotArea>
    </chartFormat>
    <chartFormat chart="12" format="149">
      <pivotArea type="data" outline="0" fieldPosition="0">
        <references count="3">
          <reference field="4294967294" count="1" selected="0">
            <x v="0"/>
          </reference>
          <reference field="2" count="1" selected="0">
            <x v="4"/>
          </reference>
          <reference field="3" count="1" selected="0">
            <x v="4"/>
          </reference>
        </references>
      </pivotArea>
    </chartFormat>
    <chartFormat chart="12" format="150" series="1">
      <pivotArea type="data" outline="0" fieldPosition="0">
        <references count="1">
          <reference field="4294967294" count="1" selected="0">
            <x v="0"/>
          </reference>
        </references>
      </pivotArea>
    </chartFormat>
    <chartFormat chart="1"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79F8180-71CB-4D05-AAC2-38BC5FF13BE4}" name="PivotTable4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9" firstHeaderRow="1" firstDataRow="1" firstDataCol="1"/>
  <pivotFields count="13">
    <pivotField showAll="0"/>
    <pivotField axis="axisRow" showAll="0" measureFilter="1">
      <items count="28">
        <item x="26"/>
        <item x="18"/>
        <item x="19"/>
        <item x="10"/>
        <item x="8"/>
        <item x="9"/>
        <item x="24"/>
        <item x="21"/>
        <item x="0"/>
        <item x="2"/>
        <item x="3"/>
        <item x="16"/>
        <item x="15"/>
        <item x="22"/>
        <item x="7"/>
        <item x="25"/>
        <item x="17"/>
        <item x="5"/>
        <item x="14"/>
        <item x="12"/>
        <item x="6"/>
        <item x="13"/>
        <item x="20"/>
        <item x="4"/>
        <item x="1"/>
        <item x="11"/>
        <item x="23"/>
        <item t="default"/>
      </items>
    </pivotField>
    <pivotField showAll="0">
      <items count="6">
        <item x="4"/>
        <item x="1"/>
        <item x="3"/>
        <item x="2"/>
        <item x="0"/>
        <item t="default"/>
      </items>
    </pivotField>
    <pivotField showAll="0">
      <items count="6">
        <item x="0"/>
        <item x="1"/>
        <item x="2"/>
        <item x="3"/>
        <item x="4"/>
        <item t="default"/>
      </items>
    </pivotField>
    <pivotField showAll="0"/>
    <pivotField showAll="0"/>
    <pivotField numFmtId="9" showAll="0"/>
    <pivotField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dataField="1" numFmtId="2" showAll="0"/>
    <pivotField numFmtId="22"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1"/>
  </rowFields>
  <rowItems count="6">
    <i>
      <x v="1"/>
    </i>
    <i>
      <x v="5"/>
    </i>
    <i>
      <x v="10"/>
    </i>
    <i>
      <x v="20"/>
    </i>
    <i>
      <x v="25"/>
    </i>
    <i t="grand">
      <x/>
    </i>
  </rowItems>
  <colItems count="1">
    <i/>
  </colItems>
  <dataFields count="1">
    <dataField name="Sum of Total  Purchase" fld="9" baseField="0" baseItem="0" numFmtId="2"/>
  </dataFields>
  <formats count="3">
    <format dxfId="38">
      <pivotArea field="1" type="button" dataOnly="0" labelOnly="1" outline="0" axis="axisRow" fieldPosition="0"/>
    </format>
    <format dxfId="37">
      <pivotArea dataOnly="0" labelOnly="1" outline="0" axis="axisValues" fieldPosition="0"/>
    </format>
    <format dxfId="36">
      <pivotArea field="1" dataOnly="0" grandRow="1" axis="axisRow" fieldPosition="0">
        <references count="1">
          <reference field="1" count="0"/>
        </references>
      </pivotArea>
    </format>
  </formats>
  <chartFormats count="3">
    <chartFormat chart="0" format="3"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1" count="1" selected="0">
            <x v="2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35E727E-358F-40BB-B4EE-606213152EA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3:B19" firstHeaderRow="1" firstDataRow="1" firstDataCol="1"/>
  <pivotFields count="13">
    <pivotField showAll="0"/>
    <pivotField showAll="0"/>
    <pivotField showAll="0">
      <items count="6">
        <item x="4"/>
        <item x="1"/>
        <item x="3"/>
        <item x="2"/>
        <item x="0"/>
        <item t="default"/>
      </items>
    </pivotField>
    <pivotField showAll="0">
      <items count="6">
        <item x="0"/>
        <item x="1"/>
        <item x="2"/>
        <item x="3"/>
        <item x="4"/>
        <item t="default"/>
      </items>
    </pivotField>
    <pivotField dataField="1" showAll="0"/>
    <pivotField showAll="0"/>
    <pivotField numFmtId="9" showAll="0"/>
    <pivotField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numFmtId="2" showAll="0"/>
    <pivotField numFmtId="22" showAll="0">
      <items count="2">
        <item x="0"/>
        <item t="default"/>
      </items>
    </pivotField>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2">
    <field x="12"/>
    <field x="11"/>
  </rowFields>
  <rowItems count="16">
    <i>
      <x v="1"/>
    </i>
    <i r="1">
      <x v="4"/>
    </i>
    <i r="1">
      <x v="5"/>
    </i>
    <i r="1">
      <x v="6"/>
    </i>
    <i r="1">
      <x v="7"/>
    </i>
    <i r="1">
      <x v="8"/>
    </i>
    <i r="1">
      <x v="9"/>
    </i>
    <i r="1">
      <x v="10"/>
    </i>
    <i r="1">
      <x v="11"/>
    </i>
    <i r="1">
      <x v="12"/>
    </i>
    <i>
      <x v="2"/>
    </i>
    <i r="1">
      <x v="1"/>
    </i>
    <i r="1">
      <x v="2"/>
    </i>
    <i r="1">
      <x v="3"/>
    </i>
    <i r="1">
      <x v="4"/>
    </i>
    <i t="grand">
      <x/>
    </i>
  </rowItems>
  <colItems count="1">
    <i/>
  </colItems>
  <dataFields count="1">
    <dataField name="Sum of Sales" fld="4" baseField="0" baseItem="0"/>
  </dataFields>
  <formats count="4">
    <format dxfId="35">
      <pivotArea field="12" type="button" dataOnly="0" labelOnly="1" outline="0" axis="axisRow" fieldPosition="0"/>
    </format>
    <format dxfId="34">
      <pivotArea dataOnly="0" labelOnly="1" outline="0" axis="axisValues" fieldPosition="0"/>
    </format>
    <format dxfId="33">
      <pivotArea grandRow="1" outline="0" collapsedLevelsAreSubtotals="1" fieldPosition="0"/>
    </format>
    <format dxfId="32">
      <pivotArea dataOnly="0" labelOnly="1" grandRow="1" outline="0" fieldPosition="0"/>
    </format>
  </formats>
  <chartFormats count="5">
    <chartFormat chart="0"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20" format="6"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0"/>
          </reference>
        </references>
      </pivotArea>
    </chartFormat>
    <chartFormat chart="21" format="7">
      <pivotArea type="data" outline="0" fieldPosition="0">
        <references count="3">
          <reference field="4294967294" count="1" selected="0">
            <x v="0"/>
          </reference>
          <reference field="11" count="1" selected="0">
            <x v="1"/>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6F32377-DB00-4AA5-8F36-C9630535EA55}" sourceName="Region">
  <pivotTables>
    <pivotTable tabId="11" name="PivotTable8"/>
    <pivotTable tabId="16" name="PivotTable43"/>
    <pivotTable tabId="12" name="PivotTable9"/>
    <pivotTable tabId="10" name="PivotTable7"/>
  </pivotTables>
  <data>
    <tabular pivotCacheId="1606874258">
      <items count="5">
        <i x="4" s="1"/>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C2B7CEC0-4269-403C-AB73-8987948D38C1}" sourceName="Months (Order_Date)">
  <pivotTables>
    <pivotTable tabId="12" name="PivotTable9"/>
    <pivotTable tabId="16" name="PivotTable43"/>
    <pivotTable tabId="11" name="PivotTable8"/>
    <pivotTable tabId="10" name="PivotTable7"/>
  </pivotTables>
  <data>
    <tabular pivotCacheId="1606874258">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EA2506CE-83CA-4425-AFFE-8440BE7F1532}" sourceName="Years (Order_Date)">
  <pivotTables>
    <pivotTable tabId="12" name="PivotTable9"/>
    <pivotTable tabId="16" name="PivotTable43"/>
    <pivotTable tabId="11" name="PivotTable8"/>
    <pivotTable tabId="10" name="PivotTable7"/>
  </pivotTables>
  <data>
    <tabular pivotCacheId="1606874258">
      <items count="4">
        <i x="1" s="1"/>
        <i x="2" s="1"/>
        <i x="0" s="1" nd="1"/>
        <i x="3"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940F0D67-B3C8-49BE-B24C-2B4CCB9E75AD}" sourceName="Product_Category">
  <pivotTables>
    <pivotTable tabId="10" name="PivotTable7"/>
    <pivotTable tabId="16" name="PivotTable43"/>
    <pivotTable tabId="11" name="PivotTable8"/>
    <pivotTable tabId="12" name="PivotTable9"/>
  </pivotTables>
  <data>
    <tabular pivotCacheId="1606874258">
      <items count="5">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1E6CD3B2-E250-4F61-A3D5-7E21DAB975DE}" cache="Slicer_Region" caption="Region" style="SlicerStyleOther1" rowHeight="234950"/>
  <slicer name="Months (Order_Date)" xr10:uid="{120C2BF7-1EAD-4578-AF5C-F95C155EF7A0}" cache="Slicer_Months__Order_Date" caption="Month" style="SlicerStyleOther1" rowHeight="274320"/>
  <slicer name="Years (Order_Date)" xr10:uid="{CA531304-5210-45DB-B39C-2F28FC7AD86F}" cache="Slicer_Years__Order_Date" caption="Years (Order_Date)" style="SlicerStyleOther1" rowHeight="234950"/>
  <slicer name="Product_Category" xr10:uid="{C8A018C7-6857-477E-98FB-27D4BF152DD4}" cache="Slicer_Product_Category" caption="Product_Category" style="SlicerStyleOther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F51F473-3B6A-452D-9623-7AA181269D5A}" name="Table1" displayName="Table1" ref="P9:R21" headerRowCount="0" totalsRowShown="0" headerRowDxfId="58" dataDxfId="57" headerRowBorderDxfId="67" tableBorderDxfId="66">
  <tableColumns count="3">
    <tableColumn id="1" xr3:uid="{9E18FDC1-7425-4BA7-98BF-643A5E64EC40}" name="Conditional fornatting" headerRowDxfId="65" dataDxfId="61" headerRowCellStyle="Normal 2"/>
    <tableColumn id="2" xr3:uid="{CE23FE38-B2A9-43D1-915C-3696FC119D33}" name="Column1" headerRowDxfId="64" dataDxfId="60" headerRowCellStyle="Normal 2"/>
    <tableColumn id="3" xr3:uid="{6FA375E9-D066-4B26-B1D8-40ACA9B55D70}" name="Column2" headerRowDxfId="63" dataDxfId="59" headerRowCellStyle="Normal 2">
      <calculatedColumnFormula>Q9-Q8</calculatedColumnFormula>
    </tableColumn>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D980AC9-6155-4B66-85A3-86A7770D69AE}" name="Table2" displayName="Table2" ref="P25:R35" totalsRowShown="0" headerRowDxfId="53" dataDxfId="52">
  <autoFilter ref="P25:R35" xr:uid="{0D980AC9-6155-4B66-85A3-86A7770D69AE}">
    <filterColumn colId="0" hiddenButton="1"/>
    <filterColumn colId="1" hiddenButton="1"/>
    <filterColumn colId="2" hiddenButton="1"/>
  </autoFilter>
  <tableColumns count="3">
    <tableColumn id="2" xr3:uid="{71E3F043-D54B-45C8-95C6-AE8709414FA9}" name="No." dataDxfId="56"/>
    <tableColumn id="3" xr3:uid="{7CC306AF-E137-4AD4-886E-5BE61F510E66}" name="Largest_Purchase" dataDxfId="55">
      <calculatedColumnFormula>LARGE($K$2:$K$201, ROW(A1))</calculatedColumnFormula>
    </tableColumn>
    <tableColumn id="4" xr3:uid="{15EA39DF-9A6F-4A1D-A600-8A85D54CEF0F}" name="Customer_Name" dataDxfId="54">
      <calculatedColumnFormula>INDEX($B$2:$B$201,MATCH(Q26,$K$2:$K$201,0))</calculatedColumnFormula>
    </tableColumn>
  </tableColumns>
  <tableStyleInfo name="TableStyleLight1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5377534-2DF9-477A-812F-CBE7161C5F9A}" name="Table3" displayName="Table3" ref="P2:Q3" totalsRowShown="0" headerRowDxfId="49" dataDxfId="48" headerRowCellStyle="Normal 2">
  <autoFilter ref="P2:Q3" xr:uid="{55377534-2DF9-477A-812F-CBE7161C5F9A}">
    <filterColumn colId="0" hiddenButton="1"/>
    <filterColumn colId="1" hiddenButton="1"/>
  </autoFilter>
  <tableColumns count="2">
    <tableColumn id="1" xr3:uid="{DD62EAA9-BF31-40C9-ACEE-8FE942FC564F}" name="Sum of Profit" dataDxfId="51" dataCellStyle="Normal 2">
      <calculatedColumnFormula>SUM(J2:J201)</calculatedColumnFormula>
    </tableColumn>
    <tableColumn id="2" xr3:uid="{DE638D8A-833C-4A8A-8031-F4F1E854265C}" name="Goal seek" dataDxfId="50" dataCellStyle="Percent"/>
  </tableColumns>
  <tableStyleInfo name="TableStyleMedium2" showFirstColumn="0" showLastColumn="0" showRowStripes="0"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44EA1-7F12-48E9-8D72-B23DDAE63498}">
  <dimension ref="A1:Z947"/>
  <sheetViews>
    <sheetView tabSelected="1" zoomScale="70" zoomScaleNormal="70" workbookViewId="0">
      <selection activeCell="A2" sqref="A2"/>
    </sheetView>
  </sheetViews>
  <sheetFormatPr defaultColWidth="14.44140625" defaultRowHeight="15" customHeight="1" x14ac:dyDescent="0.3"/>
  <cols>
    <col min="1" max="1" width="74.88671875" customWidth="1"/>
    <col min="2" max="26" width="8.6640625" customWidth="1"/>
  </cols>
  <sheetData>
    <row r="1" spans="1:26" ht="14.4" x14ac:dyDescent="0.3">
      <c r="A1" s="1" t="s">
        <v>0</v>
      </c>
      <c r="B1" s="2"/>
      <c r="C1" s="2"/>
      <c r="D1" s="2"/>
      <c r="E1" s="2"/>
      <c r="F1" s="2"/>
      <c r="G1" s="2"/>
      <c r="H1" s="2"/>
      <c r="I1" s="2"/>
      <c r="J1" s="2"/>
      <c r="K1" s="2"/>
      <c r="L1" s="2"/>
      <c r="M1" s="2"/>
      <c r="N1" s="2"/>
      <c r="O1" s="2"/>
      <c r="P1" s="2"/>
      <c r="Q1" s="2"/>
      <c r="R1" s="2"/>
      <c r="S1" s="2"/>
      <c r="T1" s="2"/>
      <c r="U1" s="2"/>
      <c r="V1" s="2"/>
      <c r="W1" s="2"/>
      <c r="X1" s="2"/>
      <c r="Y1" s="2"/>
      <c r="Z1" s="2"/>
    </row>
    <row r="2" spans="1:26" ht="409.5" customHeight="1" x14ac:dyDescent="0.3">
      <c r="A2" s="3" t="s">
        <v>1</v>
      </c>
      <c r="B2" s="3"/>
      <c r="C2" s="3"/>
      <c r="D2" s="3"/>
      <c r="E2" s="3"/>
      <c r="F2" s="2"/>
      <c r="G2" s="2"/>
      <c r="H2" s="2"/>
      <c r="I2" s="2"/>
      <c r="J2" s="2"/>
      <c r="K2" s="2"/>
      <c r="L2" s="2"/>
      <c r="M2" s="2"/>
      <c r="N2" s="2"/>
      <c r="O2" s="2"/>
      <c r="P2" s="2"/>
      <c r="Q2" s="2"/>
      <c r="R2" s="2"/>
      <c r="S2" s="2"/>
      <c r="T2" s="2"/>
      <c r="U2" s="2"/>
      <c r="V2" s="2"/>
      <c r="W2" s="2"/>
      <c r="X2" s="2"/>
      <c r="Y2" s="2"/>
      <c r="Z2" s="2"/>
    </row>
    <row r="3" spans="1:26" ht="14.4" x14ac:dyDescent="0.3">
      <c r="A3" s="2"/>
      <c r="B3" s="2"/>
      <c r="C3" s="2"/>
      <c r="D3" s="2"/>
      <c r="E3" s="2"/>
      <c r="F3" s="2"/>
      <c r="G3" s="2"/>
      <c r="H3" s="2"/>
      <c r="I3" s="2"/>
      <c r="J3" s="2"/>
      <c r="K3" s="2"/>
      <c r="L3" s="2"/>
      <c r="M3" s="2"/>
      <c r="N3" s="2"/>
      <c r="O3" s="2"/>
      <c r="P3" s="2"/>
      <c r="Q3" s="2"/>
      <c r="R3" s="2"/>
      <c r="S3" s="2"/>
      <c r="T3" s="2"/>
      <c r="U3" s="2"/>
      <c r="V3" s="2"/>
      <c r="W3" s="2"/>
      <c r="X3" s="2"/>
      <c r="Y3" s="2"/>
      <c r="Z3" s="2"/>
    </row>
    <row r="4" spans="1:26" ht="15.75" customHeight="1" x14ac:dyDescent="0.3">
      <c r="A4" s="2"/>
      <c r="B4" s="2"/>
      <c r="C4" s="2"/>
      <c r="D4" s="2"/>
      <c r="E4" s="2"/>
      <c r="F4" s="2"/>
      <c r="G4" s="2"/>
      <c r="H4" s="2"/>
      <c r="I4" s="2"/>
      <c r="J4" s="2"/>
      <c r="K4" s="2"/>
      <c r="L4" s="2"/>
      <c r="M4" s="2"/>
      <c r="N4" s="2"/>
      <c r="O4" s="2"/>
      <c r="P4" s="2"/>
      <c r="Q4" s="2"/>
      <c r="R4" s="2"/>
      <c r="S4" s="2"/>
      <c r="T4" s="2"/>
      <c r="U4" s="2"/>
      <c r="V4" s="2"/>
      <c r="W4" s="2"/>
      <c r="X4" s="2"/>
      <c r="Y4" s="2"/>
      <c r="Z4" s="2"/>
    </row>
    <row r="5" spans="1:26" ht="15.75" customHeight="1" x14ac:dyDescent="0.3">
      <c r="A5" s="2"/>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3">
      <c r="A6" s="2"/>
      <c r="B6" s="2"/>
      <c r="C6" s="2"/>
      <c r="D6" s="2"/>
      <c r="E6" s="2"/>
      <c r="F6" s="2"/>
      <c r="G6" s="2"/>
      <c r="H6" s="2"/>
      <c r="I6" s="2"/>
      <c r="J6" s="2"/>
      <c r="K6" s="2"/>
      <c r="L6" s="2"/>
      <c r="M6" s="2"/>
      <c r="N6" s="2"/>
      <c r="O6" s="2"/>
      <c r="P6" s="2"/>
      <c r="Q6" s="2"/>
      <c r="R6" s="2"/>
      <c r="S6" s="2"/>
      <c r="T6" s="2"/>
      <c r="U6" s="2"/>
      <c r="V6" s="2"/>
      <c r="W6" s="2"/>
      <c r="X6" s="2"/>
      <c r="Y6" s="2"/>
      <c r="Z6" s="2"/>
    </row>
    <row r="7" spans="1:26" ht="15.75" customHeight="1" x14ac:dyDescent="0.3">
      <c r="A7" s="2"/>
      <c r="B7" s="2"/>
      <c r="C7" s="2"/>
      <c r="D7" s="2"/>
      <c r="E7" s="2"/>
      <c r="F7" s="2"/>
      <c r="G7" s="2"/>
      <c r="H7" s="2"/>
      <c r="I7" s="2"/>
      <c r="J7" s="2"/>
      <c r="K7" s="2"/>
      <c r="L7" s="2"/>
      <c r="M7" s="2"/>
      <c r="N7" s="2"/>
      <c r="O7" s="2"/>
      <c r="P7" s="2"/>
      <c r="Q7" s="2"/>
      <c r="R7" s="2"/>
      <c r="S7" s="2"/>
      <c r="T7" s="2"/>
      <c r="U7" s="2"/>
      <c r="V7" s="2"/>
      <c r="W7" s="2"/>
      <c r="X7" s="2"/>
      <c r="Y7" s="2"/>
      <c r="Z7" s="2"/>
    </row>
    <row r="8" spans="1:26" ht="15.75" customHeight="1" x14ac:dyDescent="0.3">
      <c r="A8" s="2"/>
      <c r="B8" s="2"/>
      <c r="C8" s="2"/>
      <c r="D8" s="2"/>
      <c r="E8" s="2"/>
      <c r="F8" s="2"/>
      <c r="G8" s="2"/>
      <c r="H8" s="2"/>
      <c r="I8" s="2"/>
      <c r="J8" s="2"/>
      <c r="K8" s="2"/>
      <c r="L8" s="2"/>
      <c r="M8" s="2"/>
      <c r="N8" s="2"/>
      <c r="O8" s="2"/>
      <c r="P8" s="2"/>
      <c r="Q8" s="2"/>
      <c r="R8" s="2"/>
      <c r="S8" s="2"/>
      <c r="T8" s="2"/>
      <c r="U8" s="2"/>
      <c r="V8" s="2"/>
      <c r="W8" s="2"/>
      <c r="X8" s="2"/>
      <c r="Y8" s="2"/>
      <c r="Z8" s="2"/>
    </row>
    <row r="9" spans="1:26" ht="15.75" customHeight="1" x14ac:dyDescent="0.3">
      <c r="A9" s="2"/>
      <c r="B9" s="2"/>
      <c r="C9" s="2"/>
      <c r="D9" s="2"/>
      <c r="E9" s="2"/>
      <c r="F9" s="2"/>
      <c r="G9" s="2"/>
      <c r="H9" s="2"/>
      <c r="I9" s="2"/>
      <c r="J9" s="2"/>
      <c r="K9" s="2"/>
      <c r="L9" s="2"/>
      <c r="M9" s="2"/>
      <c r="N9" s="2"/>
      <c r="O9" s="2"/>
      <c r="P9" s="2"/>
      <c r="Q9" s="2"/>
      <c r="R9" s="2"/>
      <c r="S9" s="2"/>
      <c r="T9" s="2"/>
      <c r="U9" s="2"/>
      <c r="V9" s="2"/>
      <c r="W9" s="2"/>
      <c r="X9" s="2"/>
      <c r="Y9" s="2"/>
      <c r="Z9" s="2"/>
    </row>
    <row r="10" spans="1:26" ht="15.75" customHeight="1" x14ac:dyDescent="0.3">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5.75" customHeight="1" x14ac:dyDescent="0.3">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5.75" customHeight="1" x14ac:dyDescent="0.3">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5.75" customHeight="1" x14ac:dyDescent="0.3">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5.75" customHeight="1" x14ac:dyDescent="0.3">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x14ac:dyDescent="0.3">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5.75" customHeight="1" x14ac:dyDescent="0.3">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x14ac:dyDescent="0.3">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x14ac:dyDescent="0.3">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x14ac:dyDescent="0.3">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x14ac:dyDescent="0.3">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3">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3">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3"/>
    <row r="926" spans="1:26" ht="15.75" customHeight="1" x14ac:dyDescent="0.3"/>
    <row r="927" spans="1:26" ht="15.75" customHeight="1" x14ac:dyDescent="0.3"/>
    <row r="928" spans="1:26"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ED9E0-F8FD-4F38-8788-0819A29CB3B3}">
  <sheetPr>
    <tabColor theme="1"/>
  </sheetPr>
  <dimension ref="A1:AE1000"/>
  <sheetViews>
    <sheetView topLeftCell="B1" zoomScale="85" zoomScaleNormal="85" workbookViewId="0">
      <selection activeCell="M154" sqref="M154"/>
    </sheetView>
  </sheetViews>
  <sheetFormatPr defaultColWidth="14.44140625" defaultRowHeight="15" customHeight="1" x14ac:dyDescent="0.3"/>
  <cols>
    <col min="1" max="1" width="12.44140625" customWidth="1"/>
    <col min="2" max="2" width="16.5546875" customWidth="1"/>
    <col min="3" max="3" width="7.33203125" customWidth="1"/>
    <col min="4" max="4" width="16.6640625" customWidth="1"/>
    <col min="5" max="5" width="8" customWidth="1"/>
    <col min="6" max="7" width="8.88671875" customWidth="1"/>
    <col min="8" max="8" width="8.6640625" style="9" customWidth="1"/>
    <col min="9" max="9" width="11.33203125" customWidth="1"/>
    <col min="10" max="10" width="11.109375" customWidth="1"/>
    <col min="11" max="12" width="17" customWidth="1"/>
    <col min="13" max="13" width="13.44140625" bestFit="1" customWidth="1"/>
    <col min="14" max="15" width="8.6640625" customWidth="1"/>
    <col min="16" max="16" width="14.77734375" customWidth="1"/>
    <col min="17" max="17" width="18.44140625" customWidth="1"/>
    <col min="18" max="18" width="17.109375" customWidth="1"/>
    <col min="19" max="19" width="10.6640625" customWidth="1"/>
    <col min="20" max="20" width="15.77734375" bestFit="1" customWidth="1"/>
    <col min="21" max="21" width="18" bestFit="1" customWidth="1"/>
    <col min="22" max="22" width="15.6640625" bestFit="1" customWidth="1"/>
    <col min="23" max="23" width="10.33203125" bestFit="1" customWidth="1"/>
    <col min="24" max="31" width="8.6640625" customWidth="1"/>
  </cols>
  <sheetData>
    <row r="1" spans="1:31" ht="15.6" x14ac:dyDescent="0.3">
      <c r="A1" s="6" t="s">
        <v>77</v>
      </c>
      <c r="B1" s="6" t="s">
        <v>76</v>
      </c>
      <c r="C1" s="6" t="s">
        <v>75</v>
      </c>
      <c r="D1" s="6" t="s">
        <v>74</v>
      </c>
      <c r="E1" s="6" t="s">
        <v>73</v>
      </c>
      <c r="F1" s="6" t="s">
        <v>72</v>
      </c>
      <c r="G1" s="6"/>
      <c r="H1" s="7" t="s">
        <v>71</v>
      </c>
      <c r="I1" s="6" t="s">
        <v>70</v>
      </c>
      <c r="J1" s="6" t="s">
        <v>69</v>
      </c>
      <c r="K1" s="6" t="s">
        <v>78</v>
      </c>
      <c r="L1" s="6" t="s">
        <v>145</v>
      </c>
      <c r="M1" s="15" t="s">
        <v>137</v>
      </c>
      <c r="N1" s="6"/>
      <c r="P1" s="22" t="s">
        <v>149</v>
      </c>
      <c r="Q1" s="23"/>
      <c r="R1" s="23"/>
      <c r="S1" s="23"/>
      <c r="T1" s="23"/>
      <c r="U1" s="23"/>
      <c r="V1" s="22"/>
      <c r="W1" s="6"/>
      <c r="X1" s="6"/>
      <c r="Y1" s="6"/>
      <c r="Z1" s="6"/>
      <c r="AA1" s="6"/>
      <c r="AB1" s="6"/>
      <c r="AC1" s="6"/>
      <c r="AD1" s="6"/>
      <c r="AE1" s="6"/>
    </row>
    <row r="2" spans="1:31" ht="15.6" x14ac:dyDescent="0.3">
      <c r="A2" s="4" t="s">
        <v>59</v>
      </c>
      <c r="B2" s="4" t="s">
        <v>26</v>
      </c>
      <c r="C2" s="4" t="s">
        <v>10</v>
      </c>
      <c r="D2" s="4" t="s">
        <v>6</v>
      </c>
      <c r="E2" s="4">
        <v>1036.0899999999999</v>
      </c>
      <c r="F2" s="4">
        <v>4</v>
      </c>
      <c r="G2" s="4">
        <f>E2*F2</f>
        <v>4144.3599999999997</v>
      </c>
      <c r="H2" s="8">
        <v>0.2</v>
      </c>
      <c r="I2" s="5">
        <v>45392</v>
      </c>
      <c r="J2" s="4">
        <v>331.55</v>
      </c>
      <c r="K2" s="10">
        <f t="shared" ref="K2:K33" si="0" xml:space="preserve"> E2 *F2 * (1 -H2)</f>
        <v>3315.4879999999998</v>
      </c>
      <c r="L2" s="10">
        <f>K2-J2</f>
        <v>2983.9379999999996</v>
      </c>
      <c r="M2" s="16">
        <f ca="1">NOW()</f>
        <v>46105.637639351851</v>
      </c>
      <c r="N2" s="11"/>
      <c r="P2" s="29" t="s">
        <v>144</v>
      </c>
      <c r="Q2" s="29" t="s">
        <v>150</v>
      </c>
      <c r="R2" s="30">
        <f>SUM(J2:J201)</f>
        <v>68287.010000000009</v>
      </c>
      <c r="S2" s="23"/>
      <c r="T2" s="23"/>
      <c r="U2" s="23"/>
      <c r="V2" s="23"/>
    </row>
    <row r="3" spans="1:31" ht="15.6" x14ac:dyDescent="0.3">
      <c r="A3" s="4" t="s">
        <v>48</v>
      </c>
      <c r="B3" s="4" t="s">
        <v>13</v>
      </c>
      <c r="C3" s="4" t="s">
        <v>10</v>
      </c>
      <c r="D3" s="4" t="s">
        <v>2</v>
      </c>
      <c r="E3" s="4">
        <v>1101.28</v>
      </c>
      <c r="F3" s="4">
        <v>3</v>
      </c>
      <c r="G3" s="4">
        <f t="shared" ref="G3:G66" si="1">E3*F3</f>
        <v>3303.84</v>
      </c>
      <c r="H3" s="8">
        <v>0.2</v>
      </c>
      <c r="I3" s="5">
        <v>45393</v>
      </c>
      <c r="J3" s="4">
        <v>440.51</v>
      </c>
      <c r="K3" s="10">
        <f t="shared" si="0"/>
        <v>2643.0720000000001</v>
      </c>
      <c r="L3" s="10">
        <f t="shared" ref="L3:L66" si="2">K3-J3</f>
        <v>2202.5619999999999</v>
      </c>
      <c r="M3" s="16">
        <f t="shared" ref="M3:M66" ca="1" si="3">NOW()</f>
        <v>46105.637639351851</v>
      </c>
      <c r="N3" s="11"/>
      <c r="P3" s="31">
        <f>SUM(J2:J201)</f>
        <v>68287.010000000009</v>
      </c>
      <c r="Q3" s="32">
        <v>-33554.332000000002</v>
      </c>
      <c r="R3" s="33">
        <v>0.1</v>
      </c>
      <c r="S3" s="23"/>
      <c r="T3" s="34">
        <v>200000</v>
      </c>
      <c r="U3" s="23" t="s">
        <v>73</v>
      </c>
      <c r="V3" s="23"/>
    </row>
    <row r="4" spans="1:31" ht="15.6" x14ac:dyDescent="0.3">
      <c r="A4" s="4" t="s">
        <v>42</v>
      </c>
      <c r="B4" s="4" t="s">
        <v>51</v>
      </c>
      <c r="C4" s="4" t="s">
        <v>7</v>
      </c>
      <c r="D4" s="4" t="s">
        <v>6</v>
      </c>
      <c r="E4" s="4">
        <v>713.34</v>
      </c>
      <c r="F4" s="4">
        <v>17</v>
      </c>
      <c r="G4" s="4">
        <f t="shared" si="1"/>
        <v>12126.78</v>
      </c>
      <c r="H4" s="8">
        <v>0</v>
      </c>
      <c r="I4" s="5">
        <v>45396</v>
      </c>
      <c r="J4" s="4">
        <v>285.33999999999997</v>
      </c>
      <c r="K4" s="10">
        <f t="shared" si="0"/>
        <v>12126.78</v>
      </c>
      <c r="L4" s="10">
        <f t="shared" si="2"/>
        <v>11841.44</v>
      </c>
      <c r="M4" s="16">
        <f t="shared" ca="1" si="3"/>
        <v>46105.637639351851</v>
      </c>
      <c r="N4" s="11"/>
      <c r="O4" s="6"/>
      <c r="P4" s="23"/>
      <c r="Q4" s="23"/>
      <c r="R4" s="23">
        <v>75000</v>
      </c>
      <c r="S4" s="23"/>
      <c r="T4" s="33">
        <v>2.5000000000000005E-2</v>
      </c>
      <c r="U4" s="23" t="s">
        <v>147</v>
      </c>
      <c r="V4" s="23"/>
    </row>
    <row r="5" spans="1:31" ht="15.6" x14ac:dyDescent="0.3">
      <c r="A5" s="4" t="s">
        <v>65</v>
      </c>
      <c r="B5" s="4" t="s">
        <v>13</v>
      </c>
      <c r="C5" s="4" t="s">
        <v>3</v>
      </c>
      <c r="D5" s="4" t="s">
        <v>30</v>
      </c>
      <c r="E5" s="4">
        <v>760.93</v>
      </c>
      <c r="F5" s="4">
        <v>4</v>
      </c>
      <c r="G5" s="4">
        <f t="shared" si="1"/>
        <v>3043.72</v>
      </c>
      <c r="H5" s="8">
        <v>0.15</v>
      </c>
      <c r="I5" s="5">
        <v>45396</v>
      </c>
      <c r="J5" s="4">
        <v>161.69999999999999</v>
      </c>
      <c r="K5" s="10">
        <f t="shared" si="0"/>
        <v>2587.1619999999998</v>
      </c>
      <c r="L5" s="10">
        <f t="shared" si="2"/>
        <v>2425.462</v>
      </c>
      <c r="M5" s="16">
        <f t="shared" ca="1" si="3"/>
        <v>46105.637639351851</v>
      </c>
      <c r="N5" s="11"/>
      <c r="P5" s="23"/>
      <c r="Q5" s="23"/>
      <c r="R5" s="23"/>
      <c r="S5" s="23"/>
      <c r="T5" s="23">
        <f>T3-T3*T4</f>
        <v>195000</v>
      </c>
      <c r="U5" s="23" t="s">
        <v>148</v>
      </c>
      <c r="V5" s="23"/>
    </row>
    <row r="6" spans="1:31" ht="15.6" x14ac:dyDescent="0.3">
      <c r="A6" s="4" t="s">
        <v>25</v>
      </c>
      <c r="B6" s="4" t="s">
        <v>49</v>
      </c>
      <c r="C6" s="4" t="s">
        <v>23</v>
      </c>
      <c r="D6" s="4" t="s">
        <v>6</v>
      </c>
      <c r="E6" s="4">
        <v>847</v>
      </c>
      <c r="F6" s="4">
        <v>12</v>
      </c>
      <c r="G6" s="4">
        <f t="shared" si="1"/>
        <v>10164</v>
      </c>
      <c r="H6" s="8">
        <v>0.2</v>
      </c>
      <c r="I6" s="5">
        <v>45397</v>
      </c>
      <c r="J6" s="4">
        <v>271.04000000000002</v>
      </c>
      <c r="K6" s="10">
        <f t="shared" si="0"/>
        <v>8131.2000000000007</v>
      </c>
      <c r="L6" s="10">
        <f t="shared" si="2"/>
        <v>7860.1600000000008</v>
      </c>
      <c r="M6" s="16">
        <f t="shared" ca="1" si="3"/>
        <v>46105.637639351851</v>
      </c>
      <c r="N6" s="11"/>
      <c r="P6" s="23"/>
      <c r="Q6" s="23"/>
      <c r="R6" s="23"/>
      <c r="S6" s="23"/>
      <c r="T6" s="23">
        <v>150000</v>
      </c>
      <c r="U6" s="23" t="s">
        <v>146</v>
      </c>
      <c r="V6" s="23"/>
    </row>
    <row r="7" spans="1:31" ht="15.6" x14ac:dyDescent="0.3">
      <c r="A7" s="4" t="s">
        <v>27</v>
      </c>
      <c r="B7" s="4" t="s">
        <v>28</v>
      </c>
      <c r="C7" s="4" t="s">
        <v>23</v>
      </c>
      <c r="D7" s="4" t="s">
        <v>18</v>
      </c>
      <c r="E7" s="4">
        <v>965.64</v>
      </c>
      <c r="F7" s="4">
        <v>8</v>
      </c>
      <c r="G7" s="4">
        <f t="shared" si="1"/>
        <v>7725.12</v>
      </c>
      <c r="H7" s="8">
        <v>0.1</v>
      </c>
      <c r="I7" s="5">
        <v>45398</v>
      </c>
      <c r="J7" s="4">
        <v>304.18</v>
      </c>
      <c r="K7" s="10">
        <f t="shared" si="0"/>
        <v>6952.6080000000002</v>
      </c>
      <c r="L7" s="10">
        <f t="shared" si="2"/>
        <v>6648.4279999999999</v>
      </c>
      <c r="M7" s="16">
        <f ca="1">NOW()</f>
        <v>46105.637639351851</v>
      </c>
      <c r="N7" s="11"/>
      <c r="P7" s="22" t="s">
        <v>153</v>
      </c>
      <c r="Q7" s="22"/>
      <c r="R7" s="22"/>
      <c r="S7" s="23"/>
      <c r="T7" s="23">
        <f>T5-T6</f>
        <v>45000</v>
      </c>
      <c r="U7" s="23" t="s">
        <v>69</v>
      </c>
      <c r="V7" s="23"/>
    </row>
    <row r="8" spans="1:31" ht="15.6" x14ac:dyDescent="0.3">
      <c r="A8" s="4" t="s">
        <v>55</v>
      </c>
      <c r="B8" s="4" t="s">
        <v>39</v>
      </c>
      <c r="C8" s="4" t="s">
        <v>10</v>
      </c>
      <c r="D8" s="4" t="s">
        <v>30</v>
      </c>
      <c r="E8" s="4">
        <v>1317.53</v>
      </c>
      <c r="F8" s="4">
        <v>12</v>
      </c>
      <c r="G8" s="4">
        <f t="shared" si="1"/>
        <v>15810.36</v>
      </c>
      <c r="H8" s="8">
        <v>0.05</v>
      </c>
      <c r="I8" s="5">
        <v>45398</v>
      </c>
      <c r="J8" s="4">
        <v>312.91000000000003</v>
      </c>
      <c r="K8" s="10">
        <f t="shared" si="0"/>
        <v>15019.842000000001</v>
      </c>
      <c r="L8" s="10">
        <f t="shared" si="2"/>
        <v>14706.932000000001</v>
      </c>
      <c r="M8" s="16">
        <f t="shared" ca="1" si="3"/>
        <v>46105.637639351851</v>
      </c>
      <c r="N8" s="11"/>
      <c r="P8" s="35" t="s">
        <v>133</v>
      </c>
      <c r="Q8" s="36"/>
      <c r="R8" s="37"/>
      <c r="S8" s="23"/>
      <c r="T8" s="23"/>
      <c r="U8" s="23"/>
      <c r="V8" s="23"/>
    </row>
    <row r="9" spans="1:31" ht="15.6" x14ac:dyDescent="0.3">
      <c r="A9" s="4" t="s">
        <v>46</v>
      </c>
      <c r="B9" s="4" t="s">
        <v>41</v>
      </c>
      <c r="C9" s="4" t="s">
        <v>7</v>
      </c>
      <c r="D9" s="4" t="s">
        <v>18</v>
      </c>
      <c r="E9" s="4">
        <v>1074.47</v>
      </c>
      <c r="F9" s="4">
        <v>6</v>
      </c>
      <c r="G9" s="4">
        <f t="shared" si="1"/>
        <v>6446.82</v>
      </c>
      <c r="H9" s="8">
        <v>0.2</v>
      </c>
      <c r="I9" s="5">
        <v>45401</v>
      </c>
      <c r="J9" s="4">
        <v>300.85000000000002</v>
      </c>
      <c r="K9" s="10">
        <f t="shared" si="0"/>
        <v>5157.4560000000001</v>
      </c>
      <c r="L9" s="10">
        <f t="shared" si="2"/>
        <v>4856.6059999999998</v>
      </c>
      <c r="M9" s="16">
        <f t="shared" ca="1" si="3"/>
        <v>46105.637639351851</v>
      </c>
      <c r="N9" s="11"/>
      <c r="P9" s="38" t="s">
        <v>134</v>
      </c>
      <c r="Q9" s="38" t="s">
        <v>135</v>
      </c>
      <c r="R9" s="38" t="s">
        <v>136</v>
      </c>
      <c r="S9" s="23"/>
      <c r="T9" s="23"/>
      <c r="U9" s="23"/>
      <c r="V9" s="23"/>
    </row>
    <row r="10" spans="1:31" ht="15.6" x14ac:dyDescent="0.3">
      <c r="A10" s="4" t="s">
        <v>29</v>
      </c>
      <c r="B10" s="4" t="s">
        <v>62</v>
      </c>
      <c r="C10" s="4" t="s">
        <v>15</v>
      </c>
      <c r="D10" s="4" t="s">
        <v>6</v>
      </c>
      <c r="E10" s="4">
        <v>501.54</v>
      </c>
      <c r="F10" s="4">
        <v>11</v>
      </c>
      <c r="G10" s="4">
        <f t="shared" si="1"/>
        <v>5516.9400000000005</v>
      </c>
      <c r="H10" s="8">
        <v>0.05</v>
      </c>
      <c r="I10" s="5">
        <v>45401</v>
      </c>
      <c r="J10" s="4">
        <v>190.59</v>
      </c>
      <c r="K10" s="10">
        <f t="shared" si="0"/>
        <v>5241.0929999999998</v>
      </c>
      <c r="L10" s="10">
        <f t="shared" si="2"/>
        <v>5050.5029999999997</v>
      </c>
      <c r="M10" s="16">
        <f t="shared" ca="1" si="3"/>
        <v>46105.637639351851</v>
      </c>
      <c r="N10" s="11"/>
      <c r="P10" s="39" t="s">
        <v>119</v>
      </c>
      <c r="Q10" s="40">
        <v>14914.650000000001</v>
      </c>
      <c r="R10" s="41" t="s">
        <v>132</v>
      </c>
      <c r="S10" s="23"/>
      <c r="T10" s="23"/>
      <c r="U10" s="23"/>
      <c r="V10" s="23"/>
    </row>
    <row r="11" spans="1:31" ht="15.6" x14ac:dyDescent="0.3">
      <c r="A11" s="4" t="s">
        <v>8</v>
      </c>
      <c r="B11" s="4" t="s">
        <v>4</v>
      </c>
      <c r="C11" s="4" t="s">
        <v>15</v>
      </c>
      <c r="D11" s="4" t="s">
        <v>2</v>
      </c>
      <c r="E11" s="4">
        <v>737.31</v>
      </c>
      <c r="F11" s="4">
        <v>2</v>
      </c>
      <c r="G11" s="4">
        <f t="shared" si="1"/>
        <v>1474.62</v>
      </c>
      <c r="H11" s="8">
        <v>0.05</v>
      </c>
      <c r="I11" s="5">
        <v>45401</v>
      </c>
      <c r="J11" s="4">
        <v>350.22</v>
      </c>
      <c r="K11" s="10">
        <f t="shared" si="0"/>
        <v>1400.8889999999999</v>
      </c>
      <c r="L11" s="10">
        <f t="shared" si="2"/>
        <v>1050.6689999999999</v>
      </c>
      <c r="M11" s="16">
        <f t="shared" ca="1" si="3"/>
        <v>46105.637639351851</v>
      </c>
      <c r="N11" s="11"/>
      <c r="P11" s="39" t="s">
        <v>120</v>
      </c>
      <c r="Q11" s="40">
        <v>14006.359999999999</v>
      </c>
      <c r="R11" s="42">
        <f t="shared" ref="R11:R21" si="4">Q11-Q10</f>
        <v>-908.29000000000269</v>
      </c>
      <c r="S11" s="23"/>
      <c r="T11" s="23"/>
      <c r="U11" s="23"/>
      <c r="V11" s="23"/>
    </row>
    <row r="12" spans="1:31" ht="15.6" x14ac:dyDescent="0.3">
      <c r="A12" s="4" t="s">
        <v>17</v>
      </c>
      <c r="B12" s="4" t="s">
        <v>36</v>
      </c>
      <c r="C12" s="4" t="s">
        <v>10</v>
      </c>
      <c r="D12" s="4" t="s">
        <v>9</v>
      </c>
      <c r="E12" s="4">
        <v>1572.82</v>
      </c>
      <c r="F12" s="4">
        <v>6</v>
      </c>
      <c r="G12" s="4">
        <f t="shared" si="1"/>
        <v>9436.92</v>
      </c>
      <c r="H12" s="8">
        <v>0.05</v>
      </c>
      <c r="I12" s="5">
        <v>45402</v>
      </c>
      <c r="J12" s="4">
        <v>672.38</v>
      </c>
      <c r="K12" s="10">
        <f t="shared" si="0"/>
        <v>8965.0740000000005</v>
      </c>
      <c r="L12" s="10">
        <f t="shared" si="2"/>
        <v>8292.6940000000013</v>
      </c>
      <c r="M12" s="16">
        <f t="shared" ca="1" si="3"/>
        <v>46105.637639351851</v>
      </c>
      <c r="N12" s="11"/>
      <c r="P12" s="39" t="s">
        <v>121</v>
      </c>
      <c r="Q12" s="40">
        <v>17655.219999999998</v>
      </c>
      <c r="R12" s="42">
        <f t="shared" si="4"/>
        <v>3648.8599999999988</v>
      </c>
      <c r="S12" s="23"/>
      <c r="T12" s="23"/>
      <c r="U12" s="23"/>
      <c r="V12" s="23"/>
    </row>
    <row r="13" spans="1:31" ht="15.6" x14ac:dyDescent="0.3">
      <c r="A13" s="4" t="s">
        <v>17</v>
      </c>
      <c r="B13" s="4" t="s">
        <v>4</v>
      </c>
      <c r="C13" s="4" t="s">
        <v>15</v>
      </c>
      <c r="D13" s="4" t="s">
        <v>6</v>
      </c>
      <c r="E13" s="4">
        <v>1343.13</v>
      </c>
      <c r="F13" s="4">
        <v>14</v>
      </c>
      <c r="G13" s="4">
        <f t="shared" si="1"/>
        <v>18803.82</v>
      </c>
      <c r="H13" s="8">
        <v>0.15</v>
      </c>
      <c r="I13" s="5">
        <v>45404</v>
      </c>
      <c r="J13" s="4">
        <v>456.66</v>
      </c>
      <c r="K13" s="10">
        <f t="shared" si="0"/>
        <v>15983.246999999999</v>
      </c>
      <c r="L13" s="10">
        <f t="shared" si="2"/>
        <v>15526.587</v>
      </c>
      <c r="M13" s="16">
        <f t="shared" ca="1" si="3"/>
        <v>46105.637639351851</v>
      </c>
      <c r="N13" s="11"/>
      <c r="P13" s="39" t="s">
        <v>122</v>
      </c>
      <c r="Q13" s="40">
        <v>22242.129999999997</v>
      </c>
      <c r="R13" s="42">
        <f t="shared" si="4"/>
        <v>4586.91</v>
      </c>
      <c r="S13" s="23"/>
      <c r="T13" s="23"/>
      <c r="U13" s="23"/>
      <c r="V13" s="23"/>
    </row>
    <row r="14" spans="1:31" ht="15.6" x14ac:dyDescent="0.3">
      <c r="A14" s="4" t="s">
        <v>27</v>
      </c>
      <c r="B14" s="4" t="s">
        <v>28</v>
      </c>
      <c r="C14" s="4" t="s">
        <v>15</v>
      </c>
      <c r="D14" s="4" t="s">
        <v>6</v>
      </c>
      <c r="E14" s="4">
        <v>1191.58</v>
      </c>
      <c r="F14" s="4">
        <v>14</v>
      </c>
      <c r="G14" s="4">
        <f t="shared" si="1"/>
        <v>16682.12</v>
      </c>
      <c r="H14" s="8">
        <v>0.05</v>
      </c>
      <c r="I14" s="5">
        <v>45406</v>
      </c>
      <c r="J14" s="4">
        <v>452.8</v>
      </c>
      <c r="K14" s="10">
        <f t="shared" si="0"/>
        <v>15848.013999999997</v>
      </c>
      <c r="L14" s="10">
        <f t="shared" si="2"/>
        <v>15395.213999999998</v>
      </c>
      <c r="M14" s="16">
        <f t="shared" ca="1" si="3"/>
        <v>46105.637639351851</v>
      </c>
      <c r="N14" s="11"/>
      <c r="P14" s="39" t="s">
        <v>123</v>
      </c>
      <c r="Q14" s="40">
        <v>18507.339999999997</v>
      </c>
      <c r="R14" s="42">
        <f t="shared" si="4"/>
        <v>-3734.7900000000009</v>
      </c>
      <c r="S14" s="23"/>
      <c r="T14" s="23"/>
      <c r="U14" s="23"/>
      <c r="V14" s="23"/>
    </row>
    <row r="15" spans="1:31" ht="15.6" x14ac:dyDescent="0.3">
      <c r="A15" s="4" t="s">
        <v>33</v>
      </c>
      <c r="B15" s="4" t="s">
        <v>13</v>
      </c>
      <c r="C15" s="4" t="s">
        <v>10</v>
      </c>
      <c r="D15" s="4" t="s">
        <v>18</v>
      </c>
      <c r="E15" s="4">
        <v>822.28</v>
      </c>
      <c r="F15" s="4">
        <v>7</v>
      </c>
      <c r="G15" s="4">
        <f t="shared" si="1"/>
        <v>5755.96</v>
      </c>
      <c r="H15" s="8">
        <v>0.05</v>
      </c>
      <c r="I15" s="5">
        <v>45406</v>
      </c>
      <c r="J15" s="4">
        <v>273.41000000000003</v>
      </c>
      <c r="K15" s="10">
        <f t="shared" si="0"/>
        <v>5468.1619999999994</v>
      </c>
      <c r="L15" s="10">
        <f t="shared" si="2"/>
        <v>5194.7519999999995</v>
      </c>
      <c r="M15" s="16">
        <f t="shared" ca="1" si="3"/>
        <v>46105.637639351851</v>
      </c>
      <c r="N15" s="11"/>
      <c r="P15" s="39" t="s">
        <v>124</v>
      </c>
      <c r="Q15" s="40">
        <v>20187.509999999998</v>
      </c>
      <c r="R15" s="42">
        <f t="shared" si="4"/>
        <v>1680.1700000000019</v>
      </c>
      <c r="S15" s="23"/>
      <c r="T15" s="23"/>
      <c r="U15" s="23"/>
      <c r="V15" s="23"/>
    </row>
    <row r="16" spans="1:31" ht="15.6" x14ac:dyDescent="0.3">
      <c r="A16" s="4" t="s">
        <v>31</v>
      </c>
      <c r="B16" s="4" t="s">
        <v>68</v>
      </c>
      <c r="C16" s="4" t="s">
        <v>23</v>
      </c>
      <c r="D16" s="4" t="s">
        <v>18</v>
      </c>
      <c r="E16" s="4">
        <v>521.66999999999996</v>
      </c>
      <c r="F16" s="4">
        <v>15</v>
      </c>
      <c r="G16" s="4">
        <f t="shared" si="1"/>
        <v>7825.0499999999993</v>
      </c>
      <c r="H16" s="8">
        <v>0.15</v>
      </c>
      <c r="I16" s="5">
        <v>45409</v>
      </c>
      <c r="J16" s="4">
        <v>155.19999999999999</v>
      </c>
      <c r="K16" s="10">
        <f t="shared" si="0"/>
        <v>6651.2924999999996</v>
      </c>
      <c r="L16" s="10">
        <f t="shared" si="2"/>
        <v>6496.0924999999997</v>
      </c>
      <c r="M16" s="16">
        <f t="shared" ca="1" si="3"/>
        <v>46105.637639351851</v>
      </c>
      <c r="N16" s="11"/>
      <c r="P16" s="39" t="s">
        <v>125</v>
      </c>
      <c r="Q16" s="40">
        <v>11609.039999999999</v>
      </c>
      <c r="R16" s="42">
        <f t="shared" si="4"/>
        <v>-8578.4699999999993</v>
      </c>
      <c r="S16" s="23"/>
      <c r="T16" s="23"/>
      <c r="U16" s="23"/>
      <c r="V16" s="23"/>
    </row>
    <row r="17" spans="1:22" ht="15.6" x14ac:dyDescent="0.3">
      <c r="A17" s="4" t="s">
        <v>65</v>
      </c>
      <c r="B17" s="4" t="s">
        <v>11</v>
      </c>
      <c r="C17" s="4" t="s">
        <v>3</v>
      </c>
      <c r="D17" s="4" t="s">
        <v>30</v>
      </c>
      <c r="E17" s="4">
        <v>1502.93</v>
      </c>
      <c r="F17" s="4">
        <v>14</v>
      </c>
      <c r="G17" s="4">
        <f t="shared" si="1"/>
        <v>21041.02</v>
      </c>
      <c r="H17" s="8">
        <v>0.2</v>
      </c>
      <c r="I17" s="5">
        <v>45410</v>
      </c>
      <c r="J17" s="4">
        <v>300.58999999999997</v>
      </c>
      <c r="K17" s="10">
        <f t="shared" si="0"/>
        <v>16832.816000000003</v>
      </c>
      <c r="L17" s="10">
        <f t="shared" si="2"/>
        <v>16532.226000000002</v>
      </c>
      <c r="M17" s="16">
        <f t="shared" ca="1" si="3"/>
        <v>46105.637639351851</v>
      </c>
      <c r="P17" s="39" t="s">
        <v>126</v>
      </c>
      <c r="Q17" s="40">
        <v>10091.699999999999</v>
      </c>
      <c r="R17" s="42">
        <f t="shared" si="4"/>
        <v>-1517.3400000000001</v>
      </c>
      <c r="S17" s="23"/>
      <c r="T17" s="23"/>
      <c r="U17" s="23"/>
      <c r="V17" s="23"/>
    </row>
    <row r="18" spans="1:22" ht="15.6" x14ac:dyDescent="0.3">
      <c r="A18" s="4" t="s">
        <v>20</v>
      </c>
      <c r="B18" s="4" t="s">
        <v>13</v>
      </c>
      <c r="C18" s="4" t="s">
        <v>3</v>
      </c>
      <c r="D18" s="4" t="s">
        <v>6</v>
      </c>
      <c r="E18" s="4">
        <v>877.58</v>
      </c>
      <c r="F18" s="4">
        <v>10</v>
      </c>
      <c r="G18" s="4">
        <f t="shared" si="1"/>
        <v>8775.8000000000011</v>
      </c>
      <c r="H18" s="8">
        <v>0.15</v>
      </c>
      <c r="I18" s="5">
        <v>45411</v>
      </c>
      <c r="J18" s="4">
        <v>298.38</v>
      </c>
      <c r="K18" s="10">
        <f t="shared" si="0"/>
        <v>7459.43</v>
      </c>
      <c r="L18" s="10">
        <f t="shared" si="2"/>
        <v>7161.05</v>
      </c>
      <c r="M18" s="16">
        <f t="shared" ca="1" si="3"/>
        <v>46105.637639351851</v>
      </c>
      <c r="P18" s="39" t="s">
        <v>127</v>
      </c>
      <c r="Q18" s="40">
        <v>20533.499999999996</v>
      </c>
      <c r="R18" s="42">
        <f t="shared" si="4"/>
        <v>10441.799999999997</v>
      </c>
      <c r="S18" s="23"/>
      <c r="T18" s="23"/>
      <c r="U18" s="23"/>
      <c r="V18" s="23"/>
    </row>
    <row r="19" spans="1:22" ht="15.6" x14ac:dyDescent="0.3">
      <c r="A19" s="4" t="s">
        <v>55</v>
      </c>
      <c r="B19" s="4" t="s">
        <v>47</v>
      </c>
      <c r="C19" s="4" t="s">
        <v>10</v>
      </c>
      <c r="D19" s="4" t="s">
        <v>6</v>
      </c>
      <c r="E19" s="4">
        <v>636.70000000000005</v>
      </c>
      <c r="F19" s="4">
        <v>4</v>
      </c>
      <c r="G19" s="4">
        <f t="shared" si="1"/>
        <v>2546.8000000000002</v>
      </c>
      <c r="H19" s="8">
        <v>0.2</v>
      </c>
      <c r="I19" s="5">
        <v>45411</v>
      </c>
      <c r="J19" s="4">
        <v>203.74</v>
      </c>
      <c r="K19" s="10">
        <f t="shared" si="0"/>
        <v>2037.4400000000003</v>
      </c>
      <c r="L19" s="10">
        <f t="shared" si="2"/>
        <v>1833.7000000000003</v>
      </c>
      <c r="M19" s="16">
        <f t="shared" ca="1" si="3"/>
        <v>46105.637639351851</v>
      </c>
      <c r="P19" s="39" t="s">
        <v>128</v>
      </c>
      <c r="Q19" s="40">
        <v>14215.240000000002</v>
      </c>
      <c r="R19" s="42">
        <f t="shared" si="4"/>
        <v>-6318.2599999999948</v>
      </c>
      <c r="S19" s="23"/>
      <c r="T19" s="23"/>
      <c r="U19" s="23"/>
      <c r="V19" s="23"/>
    </row>
    <row r="20" spans="1:22" ht="15.6" x14ac:dyDescent="0.3">
      <c r="A20" s="4" t="s">
        <v>61</v>
      </c>
      <c r="B20" s="4" t="s">
        <v>44</v>
      </c>
      <c r="C20" s="4" t="s">
        <v>10</v>
      </c>
      <c r="D20" s="4" t="s">
        <v>6</v>
      </c>
      <c r="E20" s="4">
        <v>1506.14</v>
      </c>
      <c r="F20" s="4">
        <v>13</v>
      </c>
      <c r="G20" s="4">
        <f t="shared" si="1"/>
        <v>19579.82</v>
      </c>
      <c r="H20" s="8">
        <v>0.2</v>
      </c>
      <c r="I20" s="5">
        <v>45412</v>
      </c>
      <c r="J20" s="4">
        <v>481.96</v>
      </c>
      <c r="K20" s="10">
        <f t="shared" si="0"/>
        <v>15663.856</v>
      </c>
      <c r="L20" s="10">
        <f t="shared" si="2"/>
        <v>15181.896000000001</v>
      </c>
      <c r="M20" s="16">
        <f t="shared" ca="1" si="3"/>
        <v>46105.637639351851</v>
      </c>
      <c r="P20" s="39" t="s">
        <v>129</v>
      </c>
      <c r="Q20" s="40">
        <v>20135.030000000002</v>
      </c>
      <c r="R20" s="42">
        <f t="shared" si="4"/>
        <v>5919.7900000000009</v>
      </c>
      <c r="S20" s="23"/>
      <c r="T20" s="23"/>
      <c r="U20" s="23"/>
      <c r="V20" s="23"/>
    </row>
    <row r="21" spans="1:22" ht="15.75" customHeight="1" x14ac:dyDescent="0.3">
      <c r="A21" s="4" t="s">
        <v>46</v>
      </c>
      <c r="B21" s="4" t="s">
        <v>41</v>
      </c>
      <c r="C21" s="4" t="s">
        <v>15</v>
      </c>
      <c r="D21" s="4" t="s">
        <v>30</v>
      </c>
      <c r="E21" s="4">
        <v>645.02</v>
      </c>
      <c r="F21" s="4">
        <v>4</v>
      </c>
      <c r="G21" s="4">
        <f t="shared" si="1"/>
        <v>2580.08</v>
      </c>
      <c r="H21" s="8">
        <v>0</v>
      </c>
      <c r="I21" s="5">
        <v>45414</v>
      </c>
      <c r="J21" s="4">
        <v>161.26</v>
      </c>
      <c r="K21" s="10">
        <f t="shared" si="0"/>
        <v>2580.08</v>
      </c>
      <c r="L21" s="10">
        <f t="shared" si="2"/>
        <v>2418.8199999999997</v>
      </c>
      <c r="M21" s="16">
        <f t="shared" ca="1" si="3"/>
        <v>46105.637639351851</v>
      </c>
      <c r="P21" s="39" t="s">
        <v>130</v>
      </c>
      <c r="Q21" s="40">
        <v>11120.04</v>
      </c>
      <c r="R21" s="42">
        <f t="shared" si="4"/>
        <v>-9014.9900000000016</v>
      </c>
      <c r="S21" s="23"/>
      <c r="T21" s="23"/>
      <c r="U21" s="23"/>
      <c r="V21" s="23"/>
    </row>
    <row r="22" spans="1:22" ht="15.75" customHeight="1" x14ac:dyDescent="0.3">
      <c r="A22" s="4" t="s">
        <v>27</v>
      </c>
      <c r="B22" s="4" t="s">
        <v>50</v>
      </c>
      <c r="C22" s="4" t="s">
        <v>3</v>
      </c>
      <c r="D22" s="4" t="s">
        <v>2</v>
      </c>
      <c r="E22" s="4">
        <v>953.3</v>
      </c>
      <c r="F22" s="4">
        <v>11</v>
      </c>
      <c r="G22" s="4">
        <f t="shared" si="1"/>
        <v>10486.3</v>
      </c>
      <c r="H22" s="8">
        <v>0</v>
      </c>
      <c r="I22" s="5">
        <v>45415</v>
      </c>
      <c r="J22" s="4">
        <v>476.65</v>
      </c>
      <c r="K22" s="10">
        <f t="shared" si="0"/>
        <v>10486.3</v>
      </c>
      <c r="L22" s="10">
        <f t="shared" si="2"/>
        <v>10009.65</v>
      </c>
      <c r="M22" s="16">
        <f t="shared" ca="1" si="3"/>
        <v>46105.637639351851</v>
      </c>
      <c r="P22" s="23"/>
      <c r="Q22" s="23"/>
      <c r="R22" s="23"/>
      <c r="S22" s="23"/>
      <c r="T22" s="23"/>
      <c r="U22" s="23"/>
      <c r="V22" s="23"/>
    </row>
    <row r="23" spans="1:22" ht="15.75" customHeight="1" x14ac:dyDescent="0.3">
      <c r="A23" s="4" t="s">
        <v>54</v>
      </c>
      <c r="B23" s="4" t="s">
        <v>13</v>
      </c>
      <c r="C23" s="4" t="s">
        <v>23</v>
      </c>
      <c r="D23" s="4" t="s">
        <v>30</v>
      </c>
      <c r="E23" s="4">
        <v>388.56</v>
      </c>
      <c r="F23" s="4">
        <v>14</v>
      </c>
      <c r="G23" s="4">
        <f t="shared" si="1"/>
        <v>5439.84</v>
      </c>
      <c r="H23" s="8">
        <v>0.15</v>
      </c>
      <c r="I23" s="5">
        <v>45416</v>
      </c>
      <c r="J23" s="4">
        <v>82.57</v>
      </c>
      <c r="K23" s="10">
        <f t="shared" si="0"/>
        <v>4623.8639999999996</v>
      </c>
      <c r="L23" s="10">
        <f t="shared" si="2"/>
        <v>4541.2939999999999</v>
      </c>
      <c r="M23" s="16">
        <f t="shared" ca="1" si="3"/>
        <v>46105.637639351851</v>
      </c>
      <c r="P23" s="23"/>
      <c r="Q23" s="23"/>
      <c r="R23" s="23"/>
      <c r="S23" s="23"/>
      <c r="T23" s="23"/>
      <c r="U23" s="23"/>
      <c r="V23" s="23"/>
    </row>
    <row r="24" spans="1:22" ht="15.75" customHeight="1" x14ac:dyDescent="0.3">
      <c r="A24" s="4" t="s">
        <v>59</v>
      </c>
      <c r="B24" s="4" t="s">
        <v>41</v>
      </c>
      <c r="C24" s="4" t="s">
        <v>10</v>
      </c>
      <c r="D24" s="4" t="s">
        <v>6</v>
      </c>
      <c r="E24" s="4">
        <v>743.17</v>
      </c>
      <c r="F24" s="4">
        <v>9</v>
      </c>
      <c r="G24" s="4">
        <f t="shared" si="1"/>
        <v>6688.53</v>
      </c>
      <c r="H24" s="8">
        <v>0</v>
      </c>
      <c r="I24" s="5">
        <v>45416</v>
      </c>
      <c r="J24" s="4">
        <v>297.27</v>
      </c>
      <c r="K24" s="10">
        <f t="shared" si="0"/>
        <v>6688.53</v>
      </c>
      <c r="L24" s="10">
        <f t="shared" si="2"/>
        <v>6391.26</v>
      </c>
      <c r="M24" s="16">
        <f t="shared" ca="1" si="3"/>
        <v>46105.637639351851</v>
      </c>
      <c r="P24" s="22" t="s">
        <v>138</v>
      </c>
      <c r="Q24" s="23"/>
      <c r="R24" s="23"/>
      <c r="S24" s="23"/>
      <c r="T24" s="23"/>
      <c r="U24" s="23"/>
      <c r="V24" s="23"/>
    </row>
    <row r="25" spans="1:22" ht="15.75" customHeight="1" x14ac:dyDescent="0.3">
      <c r="A25" s="4" t="s">
        <v>33</v>
      </c>
      <c r="B25" s="4" t="s">
        <v>41</v>
      </c>
      <c r="C25" s="4" t="s">
        <v>15</v>
      </c>
      <c r="D25" s="4" t="s">
        <v>30</v>
      </c>
      <c r="E25" s="4">
        <v>706.37</v>
      </c>
      <c r="F25" s="4">
        <v>6</v>
      </c>
      <c r="G25" s="4">
        <f t="shared" si="1"/>
        <v>4238.22</v>
      </c>
      <c r="H25" s="8">
        <v>0</v>
      </c>
      <c r="I25" s="5">
        <v>45416</v>
      </c>
      <c r="J25" s="4">
        <v>176.59</v>
      </c>
      <c r="K25" s="10">
        <f t="shared" si="0"/>
        <v>4238.22</v>
      </c>
      <c r="L25" s="10">
        <f t="shared" si="2"/>
        <v>4061.63</v>
      </c>
      <c r="M25" s="16">
        <f t="shared" ca="1" si="3"/>
        <v>46105.637639351851</v>
      </c>
      <c r="P25" s="38" t="s">
        <v>139</v>
      </c>
      <c r="Q25" s="38" t="s">
        <v>140</v>
      </c>
      <c r="R25" s="38" t="s">
        <v>76</v>
      </c>
      <c r="S25" s="23"/>
      <c r="T25" s="23"/>
      <c r="U25" s="23"/>
      <c r="V25" s="23"/>
    </row>
    <row r="26" spans="1:22" ht="15.75" customHeight="1" x14ac:dyDescent="0.3">
      <c r="A26" s="4" t="s">
        <v>48</v>
      </c>
      <c r="B26" s="4" t="s">
        <v>41</v>
      </c>
      <c r="C26" s="4" t="s">
        <v>15</v>
      </c>
      <c r="D26" s="4" t="s">
        <v>9</v>
      </c>
      <c r="E26" s="4">
        <v>925.31</v>
      </c>
      <c r="F26" s="4">
        <v>8</v>
      </c>
      <c r="G26" s="4">
        <f t="shared" si="1"/>
        <v>7402.48</v>
      </c>
      <c r="H26" s="8">
        <v>0.1</v>
      </c>
      <c r="I26" s="5">
        <v>45418</v>
      </c>
      <c r="J26" s="4">
        <v>374.75</v>
      </c>
      <c r="K26" s="10">
        <f t="shared" si="0"/>
        <v>6662.232</v>
      </c>
      <c r="L26" s="10">
        <f t="shared" si="2"/>
        <v>6287.482</v>
      </c>
      <c r="M26" s="16">
        <f t="shared" ca="1" si="3"/>
        <v>46105.637639351851</v>
      </c>
      <c r="P26" s="43">
        <v>1</v>
      </c>
      <c r="Q26" s="44">
        <f t="shared" ref="Q26:Q35" si="5">LARGE($K$2:$K$201, ROW(A1))</f>
        <v>27435.62</v>
      </c>
      <c r="R26" s="42" t="str">
        <f>INDEX($B$2:$B$201,MATCH(Q26,$K$2:$K$201,0))</f>
        <v>Sarah Davis</v>
      </c>
      <c r="S26" s="23"/>
      <c r="T26" s="23"/>
      <c r="U26" s="23"/>
      <c r="V26" s="23"/>
    </row>
    <row r="27" spans="1:22" ht="15.75" customHeight="1" x14ac:dyDescent="0.3">
      <c r="A27" s="4" t="s">
        <v>8</v>
      </c>
      <c r="B27" s="4" t="s">
        <v>58</v>
      </c>
      <c r="C27" s="4" t="s">
        <v>3</v>
      </c>
      <c r="D27" s="4" t="s">
        <v>30</v>
      </c>
      <c r="E27" s="4">
        <v>1173.1199999999999</v>
      </c>
      <c r="F27" s="4">
        <v>18</v>
      </c>
      <c r="G27" s="4">
        <f t="shared" si="1"/>
        <v>21116.159999999996</v>
      </c>
      <c r="H27" s="8">
        <v>0</v>
      </c>
      <c r="I27" s="5">
        <v>45418</v>
      </c>
      <c r="J27" s="4">
        <v>293.27999999999997</v>
      </c>
      <c r="K27" s="10">
        <f t="shared" si="0"/>
        <v>21116.159999999996</v>
      </c>
      <c r="L27" s="10">
        <f t="shared" si="2"/>
        <v>20822.879999999997</v>
      </c>
      <c r="M27" s="16">
        <f t="shared" ca="1" si="3"/>
        <v>46105.637639351851</v>
      </c>
      <c r="P27" s="43">
        <v>2</v>
      </c>
      <c r="Q27" s="44">
        <f t="shared" si="5"/>
        <v>26882.82</v>
      </c>
      <c r="R27" s="42" t="str">
        <f t="shared" ref="R27:R35" si="6">INDEX($B$2:$B$201,MATCH(Q27,$K$2:$K$201,0))</f>
        <v>David Brown</v>
      </c>
      <c r="S27" s="23"/>
      <c r="T27" s="23"/>
      <c r="U27" s="23"/>
      <c r="V27" s="23"/>
    </row>
    <row r="28" spans="1:22" ht="15.75" customHeight="1" x14ac:dyDescent="0.3">
      <c r="A28" s="4" t="s">
        <v>25</v>
      </c>
      <c r="B28" s="4" t="s">
        <v>66</v>
      </c>
      <c r="C28" s="4" t="s">
        <v>23</v>
      </c>
      <c r="D28" s="4" t="s">
        <v>18</v>
      </c>
      <c r="E28" s="4">
        <v>675.54</v>
      </c>
      <c r="F28" s="4">
        <v>17</v>
      </c>
      <c r="G28" s="4">
        <f t="shared" si="1"/>
        <v>11484.18</v>
      </c>
      <c r="H28" s="8">
        <v>0</v>
      </c>
      <c r="I28" s="5">
        <v>45420</v>
      </c>
      <c r="J28" s="4">
        <v>236.44</v>
      </c>
      <c r="K28" s="10">
        <f t="shared" si="0"/>
        <v>11484.18</v>
      </c>
      <c r="L28" s="10">
        <f t="shared" si="2"/>
        <v>11247.74</v>
      </c>
      <c r="M28" s="16">
        <f t="shared" ca="1" si="3"/>
        <v>46105.637639351851</v>
      </c>
      <c r="P28" s="43">
        <v>3</v>
      </c>
      <c r="Q28" s="44">
        <f t="shared" si="5"/>
        <v>23126.12</v>
      </c>
      <c r="R28" s="42" t="str">
        <f t="shared" si="6"/>
        <v>Mary Wilson</v>
      </c>
      <c r="S28" s="23"/>
      <c r="T28" s="23"/>
      <c r="U28" s="23"/>
      <c r="V28" s="23"/>
    </row>
    <row r="29" spans="1:22" ht="15.75" customHeight="1" x14ac:dyDescent="0.3">
      <c r="A29" s="4" t="s">
        <v>27</v>
      </c>
      <c r="B29" s="4" t="s">
        <v>13</v>
      </c>
      <c r="C29" s="4" t="s">
        <v>15</v>
      </c>
      <c r="D29" s="4" t="s">
        <v>6</v>
      </c>
      <c r="E29" s="4">
        <v>939.09</v>
      </c>
      <c r="F29" s="4">
        <v>2</v>
      </c>
      <c r="G29" s="4">
        <f t="shared" si="1"/>
        <v>1878.18</v>
      </c>
      <c r="H29" s="8">
        <v>0.05</v>
      </c>
      <c r="I29" s="5">
        <v>45422</v>
      </c>
      <c r="J29" s="4">
        <v>356.85</v>
      </c>
      <c r="K29" s="10">
        <f t="shared" si="0"/>
        <v>1784.271</v>
      </c>
      <c r="L29" s="10">
        <f t="shared" si="2"/>
        <v>1427.4209999999998</v>
      </c>
      <c r="M29" s="16">
        <f t="shared" ca="1" si="3"/>
        <v>46105.637639351851</v>
      </c>
      <c r="P29" s="43">
        <v>4</v>
      </c>
      <c r="Q29" s="44">
        <f t="shared" si="5"/>
        <v>22709.789999999997</v>
      </c>
      <c r="R29" s="42" t="str">
        <f t="shared" si="6"/>
        <v>James Davis</v>
      </c>
      <c r="S29" s="23"/>
      <c r="T29" s="23"/>
      <c r="U29" s="23"/>
      <c r="V29" s="23"/>
    </row>
    <row r="30" spans="1:22" ht="15.75" customHeight="1" x14ac:dyDescent="0.3">
      <c r="A30" s="4" t="s">
        <v>14</v>
      </c>
      <c r="B30" s="4" t="s">
        <v>24</v>
      </c>
      <c r="C30" s="4" t="s">
        <v>7</v>
      </c>
      <c r="D30" s="4" t="s">
        <v>9</v>
      </c>
      <c r="E30" s="4">
        <v>983.34</v>
      </c>
      <c r="F30" s="4">
        <v>19</v>
      </c>
      <c r="G30" s="4">
        <f t="shared" si="1"/>
        <v>18683.46</v>
      </c>
      <c r="H30" s="8">
        <v>0.1</v>
      </c>
      <c r="I30" s="5">
        <v>45426</v>
      </c>
      <c r="J30" s="4">
        <v>398.25</v>
      </c>
      <c r="K30" s="10">
        <f t="shared" si="0"/>
        <v>16815.114000000001</v>
      </c>
      <c r="L30" s="10">
        <f t="shared" si="2"/>
        <v>16416.864000000001</v>
      </c>
      <c r="M30" s="16">
        <f t="shared" ca="1" si="3"/>
        <v>46105.637639351851</v>
      </c>
      <c r="P30" s="43">
        <v>5</v>
      </c>
      <c r="Q30" s="44">
        <f t="shared" si="5"/>
        <v>21158.85</v>
      </c>
      <c r="R30" s="42" t="str">
        <f t="shared" si="6"/>
        <v>Linda Brown</v>
      </c>
      <c r="S30" s="23"/>
      <c r="T30" s="23"/>
      <c r="U30" s="23"/>
      <c r="V30" s="23"/>
    </row>
    <row r="31" spans="1:22" ht="15.75" customHeight="1" x14ac:dyDescent="0.3">
      <c r="A31" s="4" t="s">
        <v>14</v>
      </c>
      <c r="B31" s="4" t="s">
        <v>49</v>
      </c>
      <c r="C31" s="4" t="s">
        <v>3</v>
      </c>
      <c r="D31" s="4" t="s">
        <v>30</v>
      </c>
      <c r="E31" s="4">
        <v>801.21</v>
      </c>
      <c r="F31" s="4">
        <v>3</v>
      </c>
      <c r="G31" s="4">
        <f t="shared" si="1"/>
        <v>2403.63</v>
      </c>
      <c r="H31" s="8">
        <v>0.2</v>
      </c>
      <c r="I31" s="5">
        <v>45426</v>
      </c>
      <c r="J31" s="4">
        <v>160.24</v>
      </c>
      <c r="K31" s="10">
        <f t="shared" si="0"/>
        <v>1922.9040000000002</v>
      </c>
      <c r="L31" s="10">
        <f t="shared" si="2"/>
        <v>1762.6640000000002</v>
      </c>
      <c r="M31" s="16">
        <f t="shared" ca="1" si="3"/>
        <v>46105.637639351851</v>
      </c>
      <c r="P31" s="43">
        <v>6</v>
      </c>
      <c r="Q31" s="44">
        <f t="shared" si="5"/>
        <v>21139.798999999999</v>
      </c>
      <c r="R31" s="42" t="str">
        <f t="shared" si="6"/>
        <v>Mary Wilson</v>
      </c>
      <c r="S31" s="23"/>
      <c r="T31" s="23"/>
      <c r="U31" s="23"/>
      <c r="V31" s="23"/>
    </row>
    <row r="32" spans="1:22" ht="15.75" customHeight="1" x14ac:dyDescent="0.3">
      <c r="A32" s="4" t="s">
        <v>60</v>
      </c>
      <c r="B32" s="4" t="s">
        <v>34</v>
      </c>
      <c r="C32" s="4" t="s">
        <v>23</v>
      </c>
      <c r="D32" s="4" t="s">
        <v>30</v>
      </c>
      <c r="E32" s="4">
        <v>1450.71</v>
      </c>
      <c r="F32" s="4">
        <v>5</v>
      </c>
      <c r="G32" s="4">
        <f t="shared" si="1"/>
        <v>7253.55</v>
      </c>
      <c r="H32" s="8">
        <v>0.1</v>
      </c>
      <c r="I32" s="5">
        <v>45427</v>
      </c>
      <c r="J32" s="4">
        <v>326.41000000000003</v>
      </c>
      <c r="K32" s="10">
        <f t="shared" si="0"/>
        <v>6528.1950000000006</v>
      </c>
      <c r="L32" s="10">
        <f t="shared" si="2"/>
        <v>6201.7850000000008</v>
      </c>
      <c r="M32" s="16">
        <f t="shared" ca="1" si="3"/>
        <v>46105.637639351851</v>
      </c>
      <c r="P32" s="43">
        <v>7</v>
      </c>
      <c r="Q32" s="44">
        <f t="shared" si="5"/>
        <v>21116.159999999996</v>
      </c>
      <c r="R32" s="42" t="str">
        <f t="shared" si="6"/>
        <v>Linda Brown</v>
      </c>
      <c r="S32" s="23"/>
      <c r="T32" s="23"/>
      <c r="U32" s="23"/>
      <c r="V32" s="23"/>
    </row>
    <row r="33" spans="1:22" ht="15.75" customHeight="1" x14ac:dyDescent="0.3">
      <c r="A33" s="4" t="s">
        <v>54</v>
      </c>
      <c r="B33" s="4" t="s">
        <v>63</v>
      </c>
      <c r="C33" s="4" t="s">
        <v>15</v>
      </c>
      <c r="D33" s="4" t="s">
        <v>6</v>
      </c>
      <c r="E33" s="4">
        <v>1023.21</v>
      </c>
      <c r="F33" s="4">
        <v>18</v>
      </c>
      <c r="G33" s="4">
        <f t="shared" si="1"/>
        <v>18417.78</v>
      </c>
      <c r="H33" s="8">
        <v>0.05</v>
      </c>
      <c r="I33" s="5">
        <v>45428</v>
      </c>
      <c r="J33" s="4">
        <v>388.82</v>
      </c>
      <c r="K33" s="10">
        <f t="shared" si="0"/>
        <v>17496.891</v>
      </c>
      <c r="L33" s="10">
        <f t="shared" si="2"/>
        <v>17108.071</v>
      </c>
      <c r="M33" s="16">
        <f t="shared" ca="1" si="3"/>
        <v>46105.637639351851</v>
      </c>
      <c r="P33" s="43">
        <v>8</v>
      </c>
      <c r="Q33" s="44">
        <f t="shared" si="5"/>
        <v>20921.813999999998</v>
      </c>
      <c r="R33" s="42" t="str">
        <f t="shared" si="6"/>
        <v>Mary Davis</v>
      </c>
      <c r="S33" s="23"/>
      <c r="T33" s="23"/>
      <c r="U33" s="23"/>
      <c r="V33" s="23"/>
    </row>
    <row r="34" spans="1:22" ht="15.75" customHeight="1" x14ac:dyDescent="0.3">
      <c r="A34" s="4" t="s">
        <v>55</v>
      </c>
      <c r="B34" s="4" t="s">
        <v>44</v>
      </c>
      <c r="C34" s="4" t="s">
        <v>10</v>
      </c>
      <c r="D34" s="4" t="s">
        <v>18</v>
      </c>
      <c r="E34" s="4">
        <v>853.72</v>
      </c>
      <c r="F34" s="4">
        <v>5</v>
      </c>
      <c r="G34" s="4">
        <f t="shared" si="1"/>
        <v>4268.6000000000004</v>
      </c>
      <c r="H34" s="8">
        <v>0.15</v>
      </c>
      <c r="I34" s="5">
        <v>45428</v>
      </c>
      <c r="J34" s="4">
        <v>253.98</v>
      </c>
      <c r="K34" s="10">
        <f t="shared" ref="K34:K65" si="7" xml:space="preserve"> E34 *F34 * (1 -H34)</f>
        <v>3628.3100000000004</v>
      </c>
      <c r="L34" s="10">
        <f t="shared" si="2"/>
        <v>3374.3300000000004</v>
      </c>
      <c r="M34" s="16">
        <f t="shared" ca="1" si="3"/>
        <v>46105.637639351851</v>
      </c>
      <c r="P34" s="43">
        <v>9</v>
      </c>
      <c r="Q34" s="44">
        <f t="shared" si="5"/>
        <v>19481.592000000001</v>
      </c>
      <c r="R34" s="42" t="str">
        <f t="shared" si="6"/>
        <v>Michael Anderson</v>
      </c>
      <c r="S34" s="23"/>
      <c r="T34" s="23"/>
      <c r="U34" s="23"/>
      <c r="V34" s="23"/>
    </row>
    <row r="35" spans="1:22" ht="15.75" customHeight="1" x14ac:dyDescent="0.3">
      <c r="A35" s="4" t="s">
        <v>35</v>
      </c>
      <c r="B35" s="4" t="s">
        <v>11</v>
      </c>
      <c r="C35" s="4" t="s">
        <v>3</v>
      </c>
      <c r="D35" s="4" t="s">
        <v>30</v>
      </c>
      <c r="E35" s="4">
        <v>967.89</v>
      </c>
      <c r="F35" s="4">
        <v>10</v>
      </c>
      <c r="G35" s="4">
        <f t="shared" si="1"/>
        <v>9678.9</v>
      </c>
      <c r="H35" s="8">
        <v>0.1</v>
      </c>
      <c r="I35" s="5">
        <v>45429</v>
      </c>
      <c r="J35" s="4">
        <v>217.78</v>
      </c>
      <c r="K35" s="10">
        <f t="shared" si="7"/>
        <v>8711.01</v>
      </c>
      <c r="L35" s="10">
        <f t="shared" si="2"/>
        <v>8493.23</v>
      </c>
      <c r="M35" s="16">
        <f t="shared" ca="1" si="3"/>
        <v>46105.637639351851</v>
      </c>
      <c r="P35" s="43">
        <v>10</v>
      </c>
      <c r="Q35" s="44">
        <f t="shared" si="5"/>
        <v>19442.73</v>
      </c>
      <c r="R35" s="42" t="str">
        <f t="shared" si="6"/>
        <v>Linda Jackson</v>
      </c>
      <c r="S35" s="23"/>
      <c r="T35" s="23"/>
      <c r="U35" s="23"/>
      <c r="V35" s="23"/>
    </row>
    <row r="36" spans="1:22" ht="15.75" customHeight="1" x14ac:dyDescent="0.3">
      <c r="A36" s="4" t="s">
        <v>12</v>
      </c>
      <c r="B36" s="4" t="s">
        <v>24</v>
      </c>
      <c r="C36" s="4" t="s">
        <v>23</v>
      </c>
      <c r="D36" s="4" t="s">
        <v>9</v>
      </c>
      <c r="E36" s="4">
        <v>1200.9000000000001</v>
      </c>
      <c r="F36" s="4">
        <v>14</v>
      </c>
      <c r="G36" s="4">
        <f t="shared" si="1"/>
        <v>16812.600000000002</v>
      </c>
      <c r="H36" s="8">
        <v>0.05</v>
      </c>
      <c r="I36" s="5">
        <v>45429</v>
      </c>
      <c r="J36" s="4">
        <v>513.38</v>
      </c>
      <c r="K36" s="10">
        <f t="shared" si="7"/>
        <v>15971.970000000001</v>
      </c>
      <c r="L36" s="10">
        <f t="shared" si="2"/>
        <v>15458.590000000002</v>
      </c>
      <c r="M36" s="16">
        <f t="shared" ca="1" si="3"/>
        <v>46105.637639351851</v>
      </c>
      <c r="P36" s="23"/>
      <c r="Q36" s="23"/>
      <c r="R36" s="33"/>
      <c r="S36" s="23"/>
      <c r="T36" s="23"/>
      <c r="U36" s="23"/>
      <c r="V36" s="23"/>
    </row>
    <row r="37" spans="1:22" ht="15.75" customHeight="1" x14ac:dyDescent="0.3">
      <c r="A37" s="4" t="s">
        <v>48</v>
      </c>
      <c r="B37" s="4" t="s">
        <v>28</v>
      </c>
      <c r="C37" s="4" t="s">
        <v>10</v>
      </c>
      <c r="D37" s="4" t="s">
        <v>6</v>
      </c>
      <c r="E37" s="4">
        <v>472.38</v>
      </c>
      <c r="F37" s="4">
        <v>12</v>
      </c>
      <c r="G37" s="4">
        <f t="shared" si="1"/>
        <v>5668.5599999999995</v>
      </c>
      <c r="H37" s="8">
        <v>0.2</v>
      </c>
      <c r="I37" s="5">
        <v>45429</v>
      </c>
      <c r="J37" s="4">
        <v>151.16</v>
      </c>
      <c r="K37" s="10">
        <f t="shared" si="7"/>
        <v>4534.848</v>
      </c>
      <c r="L37" s="10">
        <f t="shared" si="2"/>
        <v>4383.6880000000001</v>
      </c>
      <c r="M37" s="16">
        <f t="shared" ca="1" si="3"/>
        <v>46105.637639351851</v>
      </c>
      <c r="R37" s="11"/>
    </row>
    <row r="38" spans="1:22" ht="15.75" customHeight="1" x14ac:dyDescent="0.3">
      <c r="A38" s="4" t="s">
        <v>59</v>
      </c>
      <c r="B38" s="4" t="s">
        <v>34</v>
      </c>
      <c r="C38" s="4" t="s">
        <v>7</v>
      </c>
      <c r="D38" s="4" t="s">
        <v>9</v>
      </c>
      <c r="E38" s="4">
        <v>840.92</v>
      </c>
      <c r="F38" s="4">
        <v>9</v>
      </c>
      <c r="G38" s="4">
        <f t="shared" si="1"/>
        <v>7568.28</v>
      </c>
      <c r="H38" s="8">
        <v>0.05</v>
      </c>
      <c r="I38" s="5">
        <v>45429</v>
      </c>
      <c r="J38" s="4">
        <v>359.49</v>
      </c>
      <c r="K38" s="10">
        <f t="shared" si="7"/>
        <v>7189.8659999999991</v>
      </c>
      <c r="L38" s="10">
        <f t="shared" si="2"/>
        <v>6830.3759999999993</v>
      </c>
      <c r="M38" s="16">
        <f t="shared" ca="1" si="3"/>
        <v>46105.637639351851</v>
      </c>
      <c r="R38" s="11"/>
    </row>
    <row r="39" spans="1:22" ht="15.75" customHeight="1" x14ac:dyDescent="0.3">
      <c r="A39" s="4" t="s">
        <v>14</v>
      </c>
      <c r="B39" s="4" t="s">
        <v>50</v>
      </c>
      <c r="C39" s="4" t="s">
        <v>15</v>
      </c>
      <c r="D39" s="4" t="s">
        <v>18</v>
      </c>
      <c r="E39" s="4">
        <v>1410.06</v>
      </c>
      <c r="F39" s="4">
        <v>11</v>
      </c>
      <c r="G39" s="4">
        <f t="shared" si="1"/>
        <v>15510.66</v>
      </c>
      <c r="H39" s="8">
        <v>0.05</v>
      </c>
      <c r="I39" s="5">
        <v>45434</v>
      </c>
      <c r="J39" s="4">
        <v>468.84</v>
      </c>
      <c r="K39" s="10">
        <f t="shared" si="7"/>
        <v>14735.126999999999</v>
      </c>
      <c r="L39" s="10">
        <f t="shared" si="2"/>
        <v>14266.286999999998</v>
      </c>
      <c r="M39" s="16">
        <f t="shared" ca="1" si="3"/>
        <v>46105.637639351851</v>
      </c>
      <c r="R39" s="11"/>
    </row>
    <row r="40" spans="1:22" ht="15.75" customHeight="1" x14ac:dyDescent="0.3">
      <c r="A40" s="4" t="s">
        <v>20</v>
      </c>
      <c r="B40" s="4" t="s">
        <v>32</v>
      </c>
      <c r="C40" s="4" t="s">
        <v>15</v>
      </c>
      <c r="D40" s="4" t="s">
        <v>18</v>
      </c>
      <c r="E40" s="4">
        <v>773.09</v>
      </c>
      <c r="F40" s="4">
        <v>13</v>
      </c>
      <c r="G40" s="4">
        <f t="shared" si="1"/>
        <v>10050.17</v>
      </c>
      <c r="H40" s="8">
        <v>0.15</v>
      </c>
      <c r="I40" s="5">
        <v>45434</v>
      </c>
      <c r="J40" s="4">
        <v>229.99</v>
      </c>
      <c r="K40" s="10">
        <f t="shared" si="7"/>
        <v>8542.6445000000003</v>
      </c>
      <c r="L40" s="10">
        <f t="shared" si="2"/>
        <v>8312.6545000000006</v>
      </c>
      <c r="M40" s="16">
        <f t="shared" ca="1" si="3"/>
        <v>46105.637639351851</v>
      </c>
      <c r="R40" s="11"/>
    </row>
    <row r="41" spans="1:22" ht="15.75" customHeight="1" x14ac:dyDescent="0.3">
      <c r="A41" s="4" t="s">
        <v>5</v>
      </c>
      <c r="B41" s="4" t="s">
        <v>19</v>
      </c>
      <c r="C41" s="4" t="s">
        <v>7</v>
      </c>
      <c r="D41" s="4" t="s">
        <v>6</v>
      </c>
      <c r="E41" s="4">
        <v>580.42999999999995</v>
      </c>
      <c r="F41" s="4">
        <v>19</v>
      </c>
      <c r="G41" s="4">
        <f t="shared" si="1"/>
        <v>11028.169999999998</v>
      </c>
      <c r="H41" s="8">
        <v>0.15</v>
      </c>
      <c r="I41" s="5">
        <v>45435</v>
      </c>
      <c r="J41" s="4">
        <v>197.35</v>
      </c>
      <c r="K41" s="10">
        <f t="shared" si="7"/>
        <v>9373.9444999999978</v>
      </c>
      <c r="L41" s="10">
        <f t="shared" si="2"/>
        <v>9176.5944999999974</v>
      </c>
      <c r="M41" s="16">
        <f t="shared" ca="1" si="3"/>
        <v>46105.637639351851</v>
      </c>
      <c r="R41" s="11"/>
    </row>
    <row r="42" spans="1:22" ht="15.75" customHeight="1" x14ac:dyDescent="0.3">
      <c r="A42" s="4" t="s">
        <v>65</v>
      </c>
      <c r="B42" s="4" t="s">
        <v>68</v>
      </c>
      <c r="C42" s="4" t="s">
        <v>3</v>
      </c>
      <c r="D42" s="4" t="s">
        <v>6</v>
      </c>
      <c r="E42" s="4">
        <v>1151.21</v>
      </c>
      <c r="F42" s="4">
        <v>15</v>
      </c>
      <c r="G42" s="4">
        <f t="shared" si="1"/>
        <v>17268.150000000001</v>
      </c>
      <c r="H42" s="8">
        <v>0.1</v>
      </c>
      <c r="I42" s="5">
        <v>45445</v>
      </c>
      <c r="J42" s="4">
        <v>414.44</v>
      </c>
      <c r="K42" s="10">
        <f t="shared" si="7"/>
        <v>15541.335000000001</v>
      </c>
      <c r="L42" s="10">
        <f t="shared" si="2"/>
        <v>15126.895</v>
      </c>
      <c r="M42" s="16">
        <f t="shared" ca="1" si="3"/>
        <v>46105.637639351851</v>
      </c>
      <c r="R42" s="11"/>
    </row>
    <row r="43" spans="1:22" ht="15.75" customHeight="1" x14ac:dyDescent="0.3">
      <c r="A43" s="4" t="s">
        <v>14</v>
      </c>
      <c r="B43" s="4" t="s">
        <v>49</v>
      </c>
      <c r="C43" s="4" t="s">
        <v>15</v>
      </c>
      <c r="D43" s="4" t="s">
        <v>9</v>
      </c>
      <c r="E43" s="4">
        <v>1025.98</v>
      </c>
      <c r="F43" s="4">
        <v>5</v>
      </c>
      <c r="G43" s="4">
        <f t="shared" si="1"/>
        <v>5129.8999999999996</v>
      </c>
      <c r="H43" s="8">
        <v>0.2</v>
      </c>
      <c r="I43" s="5">
        <v>45447</v>
      </c>
      <c r="J43" s="4">
        <v>369.35</v>
      </c>
      <c r="K43" s="10">
        <f t="shared" si="7"/>
        <v>4103.92</v>
      </c>
      <c r="L43" s="10">
        <f t="shared" si="2"/>
        <v>3734.57</v>
      </c>
      <c r="M43" s="16">
        <f t="shared" ca="1" si="3"/>
        <v>46105.637639351851</v>
      </c>
      <c r="R43" s="11"/>
    </row>
    <row r="44" spans="1:22" ht="15.75" customHeight="1" x14ac:dyDescent="0.3">
      <c r="A44" s="4" t="s">
        <v>33</v>
      </c>
      <c r="B44" s="4" t="s">
        <v>63</v>
      </c>
      <c r="C44" s="4" t="s">
        <v>7</v>
      </c>
      <c r="D44" s="4" t="s">
        <v>9</v>
      </c>
      <c r="E44" s="4">
        <v>556.41999999999996</v>
      </c>
      <c r="F44" s="4">
        <v>11</v>
      </c>
      <c r="G44" s="4">
        <f t="shared" si="1"/>
        <v>6120.62</v>
      </c>
      <c r="H44" s="8">
        <v>0.15</v>
      </c>
      <c r="I44" s="5">
        <v>45447</v>
      </c>
      <c r="J44" s="4">
        <v>212.83</v>
      </c>
      <c r="K44" s="10">
        <f t="shared" si="7"/>
        <v>5202.527</v>
      </c>
      <c r="L44" s="10">
        <f t="shared" si="2"/>
        <v>4989.6970000000001</v>
      </c>
      <c r="M44" s="16">
        <f t="shared" ca="1" si="3"/>
        <v>46105.637639351851</v>
      </c>
      <c r="R44" s="11"/>
    </row>
    <row r="45" spans="1:22" ht="15.75" customHeight="1" x14ac:dyDescent="0.3">
      <c r="A45" s="4" t="s">
        <v>35</v>
      </c>
      <c r="B45" s="4" t="s">
        <v>49</v>
      </c>
      <c r="C45" s="4" t="s">
        <v>15</v>
      </c>
      <c r="D45" s="4" t="s">
        <v>6</v>
      </c>
      <c r="E45" s="4">
        <v>840.85</v>
      </c>
      <c r="F45" s="4">
        <v>19</v>
      </c>
      <c r="G45" s="4">
        <f t="shared" si="1"/>
        <v>15976.15</v>
      </c>
      <c r="H45" s="8">
        <v>0.1</v>
      </c>
      <c r="I45" s="5">
        <v>45448</v>
      </c>
      <c r="J45" s="4">
        <v>302.70999999999998</v>
      </c>
      <c r="K45" s="10">
        <f t="shared" si="7"/>
        <v>14378.535</v>
      </c>
      <c r="L45" s="10">
        <f t="shared" si="2"/>
        <v>14075.825000000001</v>
      </c>
      <c r="M45" s="16">
        <f t="shared" ca="1" si="3"/>
        <v>46105.637639351851</v>
      </c>
      <c r="R45" s="11"/>
    </row>
    <row r="46" spans="1:22" ht="15.75" customHeight="1" x14ac:dyDescent="0.3">
      <c r="A46" s="4" t="s">
        <v>46</v>
      </c>
      <c r="B46" s="4" t="s">
        <v>19</v>
      </c>
      <c r="C46" s="4" t="s">
        <v>23</v>
      </c>
      <c r="D46" s="4" t="s">
        <v>18</v>
      </c>
      <c r="E46" s="4">
        <v>1227.25</v>
      </c>
      <c r="F46" s="4">
        <v>12</v>
      </c>
      <c r="G46" s="4">
        <f t="shared" si="1"/>
        <v>14727</v>
      </c>
      <c r="H46" s="8">
        <v>0.15</v>
      </c>
      <c r="I46" s="5">
        <v>45448</v>
      </c>
      <c r="J46" s="4">
        <v>365.11</v>
      </c>
      <c r="K46" s="10">
        <f t="shared" si="7"/>
        <v>12517.949999999999</v>
      </c>
      <c r="L46" s="10">
        <f t="shared" si="2"/>
        <v>12152.839999999998</v>
      </c>
      <c r="M46" s="16">
        <f t="shared" ca="1" si="3"/>
        <v>46105.637639351851</v>
      </c>
      <c r="R46" s="11"/>
    </row>
    <row r="47" spans="1:22" ht="15.75" customHeight="1" x14ac:dyDescent="0.3">
      <c r="A47" s="4" t="s">
        <v>42</v>
      </c>
      <c r="B47" s="4" t="s">
        <v>67</v>
      </c>
      <c r="C47" s="4" t="s">
        <v>15</v>
      </c>
      <c r="D47" s="4" t="s">
        <v>30</v>
      </c>
      <c r="E47" s="4">
        <v>856.7</v>
      </c>
      <c r="F47" s="4">
        <v>2</v>
      </c>
      <c r="G47" s="4">
        <f t="shared" si="1"/>
        <v>1713.4</v>
      </c>
      <c r="H47" s="8">
        <v>0</v>
      </c>
      <c r="I47" s="5">
        <v>45449</v>
      </c>
      <c r="J47" s="4">
        <v>214.18</v>
      </c>
      <c r="K47" s="10">
        <f t="shared" si="7"/>
        <v>1713.4</v>
      </c>
      <c r="L47" s="10">
        <f t="shared" si="2"/>
        <v>1499.22</v>
      </c>
      <c r="M47" s="16">
        <f t="shared" ca="1" si="3"/>
        <v>46105.637639351851</v>
      </c>
      <c r="R47" s="11"/>
    </row>
    <row r="48" spans="1:22" ht="15.75" customHeight="1" x14ac:dyDescent="0.3">
      <c r="A48" s="4" t="s">
        <v>60</v>
      </c>
      <c r="B48" s="4" t="s">
        <v>63</v>
      </c>
      <c r="C48" s="4" t="s">
        <v>15</v>
      </c>
      <c r="D48" s="4" t="s">
        <v>9</v>
      </c>
      <c r="E48" s="4">
        <v>1225.42</v>
      </c>
      <c r="F48" s="4">
        <v>8</v>
      </c>
      <c r="G48" s="4">
        <f t="shared" si="1"/>
        <v>9803.36</v>
      </c>
      <c r="H48" s="8">
        <v>0.15</v>
      </c>
      <c r="I48" s="5">
        <v>45449</v>
      </c>
      <c r="J48" s="4">
        <v>468.72</v>
      </c>
      <c r="K48" s="10">
        <f t="shared" si="7"/>
        <v>8332.8559999999998</v>
      </c>
      <c r="L48" s="10">
        <f t="shared" si="2"/>
        <v>7864.1359999999995</v>
      </c>
      <c r="M48" s="16">
        <f t="shared" ca="1" si="3"/>
        <v>46105.637639351851</v>
      </c>
      <c r="R48" s="11"/>
    </row>
    <row r="49" spans="1:18" ht="15.75" customHeight="1" x14ac:dyDescent="0.3">
      <c r="A49" s="4" t="s">
        <v>52</v>
      </c>
      <c r="B49" s="4" t="s">
        <v>41</v>
      </c>
      <c r="C49" s="4" t="s">
        <v>23</v>
      </c>
      <c r="D49" s="4" t="s">
        <v>9</v>
      </c>
      <c r="E49" s="4">
        <v>1001.57</v>
      </c>
      <c r="F49" s="4">
        <v>12</v>
      </c>
      <c r="G49" s="4">
        <f t="shared" si="1"/>
        <v>12018.84</v>
      </c>
      <c r="H49" s="8">
        <v>0</v>
      </c>
      <c r="I49" s="5">
        <v>45450</v>
      </c>
      <c r="J49" s="4">
        <v>450.71</v>
      </c>
      <c r="K49" s="10">
        <f t="shared" si="7"/>
        <v>12018.84</v>
      </c>
      <c r="L49" s="10">
        <f t="shared" si="2"/>
        <v>11568.130000000001</v>
      </c>
      <c r="M49" s="16">
        <f t="shared" ca="1" si="3"/>
        <v>46105.637639351851</v>
      </c>
      <c r="R49" s="11"/>
    </row>
    <row r="50" spans="1:18" ht="15.75" customHeight="1" x14ac:dyDescent="0.3">
      <c r="A50" s="4" t="s">
        <v>35</v>
      </c>
      <c r="B50" s="4" t="s">
        <v>28</v>
      </c>
      <c r="C50" s="4" t="s">
        <v>7</v>
      </c>
      <c r="D50" s="4" t="s">
        <v>18</v>
      </c>
      <c r="E50" s="4">
        <v>1186.8499999999999</v>
      </c>
      <c r="F50" s="4">
        <v>19</v>
      </c>
      <c r="G50" s="4">
        <f t="shared" si="1"/>
        <v>22550.149999999998</v>
      </c>
      <c r="H50" s="8">
        <v>0.2</v>
      </c>
      <c r="I50" s="5">
        <v>45451</v>
      </c>
      <c r="J50" s="4">
        <v>332.32</v>
      </c>
      <c r="K50" s="10">
        <f t="shared" si="7"/>
        <v>18040.12</v>
      </c>
      <c r="L50" s="10">
        <f t="shared" si="2"/>
        <v>17707.8</v>
      </c>
      <c r="M50" s="16">
        <f t="shared" ca="1" si="3"/>
        <v>46105.637639351851</v>
      </c>
      <c r="R50" s="11"/>
    </row>
    <row r="51" spans="1:18" ht="15.75" customHeight="1" x14ac:dyDescent="0.3">
      <c r="A51" s="4" t="s">
        <v>20</v>
      </c>
      <c r="B51" s="4" t="s">
        <v>66</v>
      </c>
      <c r="C51" s="4" t="s">
        <v>3</v>
      </c>
      <c r="D51" s="4" t="s">
        <v>30</v>
      </c>
      <c r="E51" s="4">
        <v>775.45</v>
      </c>
      <c r="F51" s="4">
        <v>6</v>
      </c>
      <c r="G51" s="4">
        <f t="shared" si="1"/>
        <v>4652.7000000000007</v>
      </c>
      <c r="H51" s="8">
        <v>0.1</v>
      </c>
      <c r="I51" s="5">
        <v>45457</v>
      </c>
      <c r="J51" s="4">
        <v>174.48</v>
      </c>
      <c r="K51" s="10">
        <f t="shared" si="7"/>
        <v>4187.4300000000012</v>
      </c>
      <c r="L51" s="10">
        <f t="shared" si="2"/>
        <v>4012.9500000000012</v>
      </c>
      <c r="M51" s="16">
        <f t="shared" ca="1" si="3"/>
        <v>46105.637639351851</v>
      </c>
      <c r="R51" s="11"/>
    </row>
    <row r="52" spans="1:18" ht="15.75" customHeight="1" x14ac:dyDescent="0.3">
      <c r="A52" s="4" t="s">
        <v>27</v>
      </c>
      <c r="B52" s="4" t="s">
        <v>62</v>
      </c>
      <c r="C52" s="4" t="s">
        <v>3</v>
      </c>
      <c r="D52" s="4" t="s">
        <v>30</v>
      </c>
      <c r="E52" s="4">
        <v>1021.47</v>
      </c>
      <c r="F52" s="4">
        <v>6</v>
      </c>
      <c r="G52" s="4">
        <f t="shared" si="1"/>
        <v>6128.82</v>
      </c>
      <c r="H52" s="8">
        <v>0.05</v>
      </c>
      <c r="I52" s="5">
        <v>45461</v>
      </c>
      <c r="J52" s="4">
        <v>242.6</v>
      </c>
      <c r="K52" s="10">
        <f t="shared" si="7"/>
        <v>5822.3789999999999</v>
      </c>
      <c r="L52" s="10">
        <f t="shared" si="2"/>
        <v>5579.7789999999995</v>
      </c>
      <c r="M52" s="16">
        <f t="shared" ca="1" si="3"/>
        <v>46105.637639351851</v>
      </c>
      <c r="R52" s="11"/>
    </row>
    <row r="53" spans="1:18" ht="15.75" customHeight="1" x14ac:dyDescent="0.3">
      <c r="A53" s="4" t="s">
        <v>12</v>
      </c>
      <c r="B53" s="4" t="s">
        <v>49</v>
      </c>
      <c r="C53" s="4" t="s">
        <v>3</v>
      </c>
      <c r="D53" s="4" t="s">
        <v>2</v>
      </c>
      <c r="E53" s="4">
        <v>1226.6199999999999</v>
      </c>
      <c r="F53" s="4">
        <v>7</v>
      </c>
      <c r="G53" s="4">
        <f t="shared" si="1"/>
        <v>8586.34</v>
      </c>
      <c r="H53" s="8">
        <v>0.1</v>
      </c>
      <c r="I53" s="5">
        <v>45463</v>
      </c>
      <c r="J53" s="4">
        <v>551.98</v>
      </c>
      <c r="K53" s="10">
        <f t="shared" si="7"/>
        <v>7727.7060000000001</v>
      </c>
      <c r="L53" s="10">
        <f t="shared" si="2"/>
        <v>7175.7260000000006</v>
      </c>
      <c r="M53" s="16">
        <f t="shared" ca="1" si="3"/>
        <v>46105.637639351851</v>
      </c>
      <c r="R53" s="11"/>
    </row>
    <row r="54" spans="1:18" ht="15.75" customHeight="1" x14ac:dyDescent="0.3">
      <c r="A54" s="4" t="s">
        <v>25</v>
      </c>
      <c r="B54" s="4" t="s">
        <v>38</v>
      </c>
      <c r="C54" s="4" t="s">
        <v>3</v>
      </c>
      <c r="D54" s="4" t="s">
        <v>18</v>
      </c>
      <c r="E54" s="4">
        <v>1086.93</v>
      </c>
      <c r="F54" s="4">
        <v>2</v>
      </c>
      <c r="G54" s="4">
        <f t="shared" si="1"/>
        <v>2173.86</v>
      </c>
      <c r="H54" s="8">
        <v>0</v>
      </c>
      <c r="I54" s="5">
        <v>45464</v>
      </c>
      <c r="J54" s="4">
        <v>380.43</v>
      </c>
      <c r="K54" s="10">
        <f t="shared" si="7"/>
        <v>2173.86</v>
      </c>
      <c r="L54" s="10">
        <f t="shared" si="2"/>
        <v>1793.43</v>
      </c>
      <c r="M54" s="16">
        <f t="shared" ca="1" si="3"/>
        <v>46105.637639351851</v>
      </c>
      <c r="R54" s="11"/>
    </row>
    <row r="55" spans="1:18" ht="15.75" customHeight="1" x14ac:dyDescent="0.3">
      <c r="A55" s="4" t="s">
        <v>45</v>
      </c>
      <c r="B55" s="4" t="s">
        <v>50</v>
      </c>
      <c r="C55" s="4" t="s">
        <v>10</v>
      </c>
      <c r="D55" s="4" t="s">
        <v>6</v>
      </c>
      <c r="E55" s="4">
        <v>942.9</v>
      </c>
      <c r="F55" s="4">
        <v>18</v>
      </c>
      <c r="G55" s="4">
        <f t="shared" si="1"/>
        <v>16972.2</v>
      </c>
      <c r="H55" s="8">
        <v>0.1</v>
      </c>
      <c r="I55" s="5">
        <v>45466</v>
      </c>
      <c r="J55" s="4">
        <v>339.44</v>
      </c>
      <c r="K55" s="10">
        <f t="shared" si="7"/>
        <v>15274.980000000001</v>
      </c>
      <c r="L55" s="10">
        <f t="shared" si="2"/>
        <v>14935.54</v>
      </c>
      <c r="M55" s="16">
        <f t="shared" ca="1" si="3"/>
        <v>46105.637639351851</v>
      </c>
      <c r="R55" s="11"/>
    </row>
    <row r="56" spans="1:18" ht="15.75" customHeight="1" x14ac:dyDescent="0.3">
      <c r="A56" s="4" t="s">
        <v>29</v>
      </c>
      <c r="B56" s="4" t="s">
        <v>36</v>
      </c>
      <c r="C56" s="4" t="s">
        <v>23</v>
      </c>
      <c r="D56" s="4" t="s">
        <v>30</v>
      </c>
      <c r="E56" s="4">
        <v>818.8</v>
      </c>
      <c r="F56" s="4">
        <v>15</v>
      </c>
      <c r="G56" s="4">
        <f t="shared" si="1"/>
        <v>12282</v>
      </c>
      <c r="H56" s="8">
        <v>0.15</v>
      </c>
      <c r="I56" s="5">
        <v>45468</v>
      </c>
      <c r="J56" s="4">
        <v>173.99</v>
      </c>
      <c r="K56" s="10">
        <f t="shared" si="7"/>
        <v>10439.699999999999</v>
      </c>
      <c r="L56" s="10">
        <f t="shared" si="2"/>
        <v>10265.709999999999</v>
      </c>
      <c r="M56" s="16">
        <f t="shared" ca="1" si="3"/>
        <v>46105.637639351851</v>
      </c>
      <c r="R56" s="11"/>
    </row>
    <row r="57" spans="1:18" ht="15.75" customHeight="1" x14ac:dyDescent="0.3">
      <c r="A57" s="4" t="s">
        <v>65</v>
      </c>
      <c r="B57" s="4" t="s">
        <v>13</v>
      </c>
      <c r="C57" s="4" t="s">
        <v>3</v>
      </c>
      <c r="D57" s="4" t="s">
        <v>18</v>
      </c>
      <c r="E57" s="4">
        <v>919.04</v>
      </c>
      <c r="F57" s="4">
        <v>10</v>
      </c>
      <c r="G57" s="4">
        <f t="shared" si="1"/>
        <v>9190.4</v>
      </c>
      <c r="H57" s="8">
        <v>0.2</v>
      </c>
      <c r="I57" s="5">
        <v>45468</v>
      </c>
      <c r="J57" s="4">
        <v>257.33</v>
      </c>
      <c r="K57" s="10">
        <f t="shared" si="7"/>
        <v>7352.32</v>
      </c>
      <c r="L57" s="10">
        <f t="shared" si="2"/>
        <v>7094.99</v>
      </c>
      <c r="M57" s="16">
        <f t="shared" ca="1" si="3"/>
        <v>46105.637639351851</v>
      </c>
      <c r="R57" s="11"/>
    </row>
    <row r="58" spans="1:18" ht="15.75" customHeight="1" x14ac:dyDescent="0.3">
      <c r="A58" s="4" t="s">
        <v>25</v>
      </c>
      <c r="B58" s="4" t="s">
        <v>56</v>
      </c>
      <c r="C58" s="4" t="s">
        <v>15</v>
      </c>
      <c r="D58" s="4" t="s">
        <v>6</v>
      </c>
      <c r="E58" s="4">
        <v>973.26</v>
      </c>
      <c r="F58" s="4">
        <v>11</v>
      </c>
      <c r="G58" s="4">
        <f t="shared" si="1"/>
        <v>10705.86</v>
      </c>
      <c r="H58" s="8">
        <v>0</v>
      </c>
      <c r="I58" s="5">
        <v>45470</v>
      </c>
      <c r="J58" s="4">
        <v>389.3</v>
      </c>
      <c r="K58" s="10">
        <f t="shared" si="7"/>
        <v>10705.86</v>
      </c>
      <c r="L58" s="10">
        <f t="shared" si="2"/>
        <v>10316.560000000001</v>
      </c>
      <c r="M58" s="16">
        <f t="shared" ca="1" si="3"/>
        <v>46105.637639351851</v>
      </c>
      <c r="R58" s="11"/>
    </row>
    <row r="59" spans="1:18" ht="15.75" customHeight="1" x14ac:dyDescent="0.3">
      <c r="A59" s="4" t="s">
        <v>31</v>
      </c>
      <c r="B59" s="4" t="s">
        <v>38</v>
      </c>
      <c r="C59" s="4" t="s">
        <v>23</v>
      </c>
      <c r="D59" s="4" t="s">
        <v>30</v>
      </c>
      <c r="E59" s="4">
        <v>741.61</v>
      </c>
      <c r="F59" s="4">
        <v>1</v>
      </c>
      <c r="G59" s="4">
        <f t="shared" si="1"/>
        <v>741.61</v>
      </c>
      <c r="H59" s="8">
        <v>0.2</v>
      </c>
      <c r="I59" s="5">
        <v>45471</v>
      </c>
      <c r="J59" s="4">
        <v>148.32</v>
      </c>
      <c r="K59" s="10">
        <f t="shared" si="7"/>
        <v>593.28800000000001</v>
      </c>
      <c r="L59" s="10">
        <f t="shared" si="2"/>
        <v>444.96800000000002</v>
      </c>
      <c r="M59" s="16">
        <f t="shared" ca="1" si="3"/>
        <v>46105.637639351851</v>
      </c>
      <c r="R59" s="11"/>
    </row>
    <row r="60" spans="1:18" ht="15.75" customHeight="1" x14ac:dyDescent="0.3">
      <c r="A60" s="4" t="s">
        <v>37</v>
      </c>
      <c r="B60" s="4" t="s">
        <v>36</v>
      </c>
      <c r="C60" s="4" t="s">
        <v>23</v>
      </c>
      <c r="D60" s="4" t="s">
        <v>6</v>
      </c>
      <c r="E60" s="4">
        <v>1248.82</v>
      </c>
      <c r="F60" s="4">
        <v>2</v>
      </c>
      <c r="G60" s="4">
        <f t="shared" si="1"/>
        <v>2497.64</v>
      </c>
      <c r="H60" s="8">
        <v>0.1</v>
      </c>
      <c r="I60" s="5">
        <v>45473</v>
      </c>
      <c r="J60" s="4">
        <v>449.58</v>
      </c>
      <c r="K60" s="10">
        <f t="shared" si="7"/>
        <v>2247.8759999999997</v>
      </c>
      <c r="L60" s="10">
        <f t="shared" si="2"/>
        <v>1798.2959999999998</v>
      </c>
      <c r="M60" s="16">
        <f t="shared" ca="1" si="3"/>
        <v>46105.637639351851</v>
      </c>
      <c r="R60" s="11"/>
    </row>
    <row r="61" spans="1:18" ht="15.75" customHeight="1" x14ac:dyDescent="0.3">
      <c r="A61" s="4" t="s">
        <v>48</v>
      </c>
      <c r="B61" s="4" t="s">
        <v>32</v>
      </c>
      <c r="C61" s="4" t="s">
        <v>10</v>
      </c>
      <c r="D61" s="4" t="s">
        <v>2</v>
      </c>
      <c r="E61" s="4">
        <v>1360.36</v>
      </c>
      <c r="F61" s="4">
        <v>17</v>
      </c>
      <c r="G61" s="4">
        <f t="shared" si="1"/>
        <v>23126.12</v>
      </c>
      <c r="H61" s="8">
        <v>0</v>
      </c>
      <c r="I61" s="5">
        <v>45473</v>
      </c>
      <c r="J61" s="4">
        <v>680.18</v>
      </c>
      <c r="K61" s="10">
        <f t="shared" si="7"/>
        <v>23126.12</v>
      </c>
      <c r="L61" s="10">
        <f t="shared" si="2"/>
        <v>22445.94</v>
      </c>
      <c r="M61" s="16">
        <f t="shared" ca="1" si="3"/>
        <v>46105.637639351851</v>
      </c>
      <c r="R61" s="11"/>
    </row>
    <row r="62" spans="1:18" ht="15.75" customHeight="1" x14ac:dyDescent="0.3">
      <c r="A62" s="4" t="s">
        <v>35</v>
      </c>
      <c r="B62" s="4" t="s">
        <v>41</v>
      </c>
      <c r="C62" s="4" t="s">
        <v>7</v>
      </c>
      <c r="D62" s="4" t="s">
        <v>6</v>
      </c>
      <c r="E62" s="4">
        <v>1383.3</v>
      </c>
      <c r="F62" s="4">
        <v>8</v>
      </c>
      <c r="G62" s="4">
        <f t="shared" si="1"/>
        <v>11066.4</v>
      </c>
      <c r="H62" s="8">
        <v>0.1</v>
      </c>
      <c r="I62" s="5">
        <v>45478</v>
      </c>
      <c r="J62" s="4">
        <v>497.99</v>
      </c>
      <c r="K62" s="10">
        <f t="shared" si="7"/>
        <v>9959.76</v>
      </c>
      <c r="L62" s="10">
        <f t="shared" si="2"/>
        <v>9461.77</v>
      </c>
      <c r="M62" s="16">
        <f t="shared" ca="1" si="3"/>
        <v>46105.637639351851</v>
      </c>
      <c r="R62" s="11"/>
    </row>
    <row r="63" spans="1:18" ht="15.75" customHeight="1" x14ac:dyDescent="0.3">
      <c r="A63" s="4" t="s">
        <v>8</v>
      </c>
      <c r="B63" s="4" t="s">
        <v>34</v>
      </c>
      <c r="C63" s="4" t="s">
        <v>15</v>
      </c>
      <c r="D63" s="4" t="s">
        <v>9</v>
      </c>
      <c r="E63" s="4">
        <v>488.99</v>
      </c>
      <c r="F63" s="4">
        <v>9</v>
      </c>
      <c r="G63" s="4">
        <f t="shared" si="1"/>
        <v>4400.91</v>
      </c>
      <c r="H63" s="8">
        <v>0</v>
      </c>
      <c r="I63" s="5">
        <v>45479</v>
      </c>
      <c r="J63" s="4">
        <v>220.05</v>
      </c>
      <c r="K63" s="10">
        <f t="shared" si="7"/>
        <v>4400.91</v>
      </c>
      <c r="L63" s="10">
        <f t="shared" si="2"/>
        <v>4180.8599999999997</v>
      </c>
      <c r="M63" s="16">
        <f t="shared" ca="1" si="3"/>
        <v>46105.637639351851</v>
      </c>
      <c r="R63" s="11"/>
    </row>
    <row r="64" spans="1:18" ht="15.75" customHeight="1" x14ac:dyDescent="0.3">
      <c r="A64" s="4" t="s">
        <v>46</v>
      </c>
      <c r="B64" s="4" t="s">
        <v>41</v>
      </c>
      <c r="C64" s="4" t="s">
        <v>7</v>
      </c>
      <c r="D64" s="4" t="s">
        <v>18</v>
      </c>
      <c r="E64" s="4">
        <v>933.71</v>
      </c>
      <c r="F64" s="4">
        <v>17</v>
      </c>
      <c r="G64" s="4">
        <f t="shared" si="1"/>
        <v>15873.07</v>
      </c>
      <c r="H64" s="8">
        <v>0.1</v>
      </c>
      <c r="I64" s="5">
        <v>45481</v>
      </c>
      <c r="J64" s="4">
        <v>294.12</v>
      </c>
      <c r="K64" s="10">
        <f t="shared" si="7"/>
        <v>14285.763000000001</v>
      </c>
      <c r="L64" s="10">
        <f t="shared" si="2"/>
        <v>13991.643</v>
      </c>
      <c r="M64" s="16">
        <f t="shared" ca="1" si="3"/>
        <v>46105.637639351851</v>
      </c>
      <c r="R64" s="11"/>
    </row>
    <row r="65" spans="1:18" ht="15.75" customHeight="1" x14ac:dyDescent="0.3">
      <c r="A65" s="4" t="s">
        <v>37</v>
      </c>
      <c r="B65" s="4" t="s">
        <v>26</v>
      </c>
      <c r="C65" s="4" t="s">
        <v>10</v>
      </c>
      <c r="D65" s="4" t="s">
        <v>30</v>
      </c>
      <c r="E65" s="4">
        <v>1005.53</v>
      </c>
      <c r="F65" s="4">
        <v>17</v>
      </c>
      <c r="G65" s="4">
        <f t="shared" si="1"/>
        <v>17094.009999999998</v>
      </c>
      <c r="H65" s="8">
        <v>0.2</v>
      </c>
      <c r="I65" s="5">
        <v>45481</v>
      </c>
      <c r="J65" s="4">
        <v>201.11</v>
      </c>
      <c r="K65" s="10">
        <f t="shared" si="7"/>
        <v>13675.207999999999</v>
      </c>
      <c r="L65" s="10">
        <f t="shared" si="2"/>
        <v>13474.097999999998</v>
      </c>
      <c r="M65" s="16">
        <f t="shared" ca="1" si="3"/>
        <v>46105.637639351851</v>
      </c>
      <c r="R65" s="11"/>
    </row>
    <row r="66" spans="1:18" ht="15.75" customHeight="1" x14ac:dyDescent="0.3">
      <c r="A66" s="4" t="s">
        <v>31</v>
      </c>
      <c r="B66" s="4" t="s">
        <v>19</v>
      </c>
      <c r="C66" s="4" t="s">
        <v>3</v>
      </c>
      <c r="D66" s="4" t="s">
        <v>30</v>
      </c>
      <c r="E66" s="4">
        <v>1100.0999999999999</v>
      </c>
      <c r="F66" s="4">
        <v>5</v>
      </c>
      <c r="G66" s="4">
        <f t="shared" si="1"/>
        <v>5500.5</v>
      </c>
      <c r="H66" s="8">
        <v>0.05</v>
      </c>
      <c r="I66" s="5">
        <v>45482</v>
      </c>
      <c r="J66" s="4">
        <v>261.27</v>
      </c>
      <c r="K66" s="10">
        <f t="shared" ref="K66:K97" si="8" xml:space="preserve"> E66 *F66 * (1 -H66)</f>
        <v>5225.4749999999995</v>
      </c>
      <c r="L66" s="10">
        <f t="shared" si="2"/>
        <v>4964.2049999999999</v>
      </c>
      <c r="M66" s="16">
        <f t="shared" ca="1" si="3"/>
        <v>46105.637639351851</v>
      </c>
      <c r="R66" s="11"/>
    </row>
    <row r="67" spans="1:18" ht="15.75" customHeight="1" x14ac:dyDescent="0.3">
      <c r="A67" s="4" t="s">
        <v>37</v>
      </c>
      <c r="B67" s="4" t="s">
        <v>49</v>
      </c>
      <c r="C67" s="4" t="s">
        <v>23</v>
      </c>
      <c r="D67" s="4" t="s">
        <v>18</v>
      </c>
      <c r="E67" s="4">
        <v>1034.7</v>
      </c>
      <c r="F67" s="4">
        <v>15</v>
      </c>
      <c r="G67" s="4">
        <f t="shared" ref="G67:G130" si="9">E67*F67</f>
        <v>15520.5</v>
      </c>
      <c r="H67" s="8">
        <v>0.15</v>
      </c>
      <c r="I67" s="5">
        <v>45487</v>
      </c>
      <c r="J67" s="4">
        <v>307.82</v>
      </c>
      <c r="K67" s="10">
        <f t="shared" si="8"/>
        <v>13192.424999999999</v>
      </c>
      <c r="L67" s="10">
        <f t="shared" ref="L67:L130" si="10">K67-J67</f>
        <v>12884.605</v>
      </c>
      <c r="M67" s="16">
        <f t="shared" ref="M67:M130" ca="1" si="11">NOW()</f>
        <v>46105.637639351851</v>
      </c>
      <c r="R67" s="11"/>
    </row>
    <row r="68" spans="1:18" ht="15.75" customHeight="1" x14ac:dyDescent="0.3">
      <c r="A68" s="4" t="s">
        <v>45</v>
      </c>
      <c r="B68" s="4" t="s">
        <v>41</v>
      </c>
      <c r="C68" s="4" t="s">
        <v>3</v>
      </c>
      <c r="D68" s="4" t="s">
        <v>6</v>
      </c>
      <c r="E68" s="4">
        <v>876.44</v>
      </c>
      <c r="F68" s="4">
        <v>12</v>
      </c>
      <c r="G68" s="4">
        <f t="shared" si="9"/>
        <v>10517.28</v>
      </c>
      <c r="H68" s="8">
        <v>0.05</v>
      </c>
      <c r="I68" s="5">
        <v>45488</v>
      </c>
      <c r="J68" s="4">
        <v>333.05</v>
      </c>
      <c r="K68" s="10">
        <f t="shared" si="8"/>
        <v>9991.4159999999993</v>
      </c>
      <c r="L68" s="10">
        <f t="shared" si="10"/>
        <v>9658.366</v>
      </c>
      <c r="M68" s="16">
        <f t="shared" ca="1" si="11"/>
        <v>46105.637639351851</v>
      </c>
      <c r="R68" s="11"/>
    </row>
    <row r="69" spans="1:18" ht="15.75" customHeight="1" x14ac:dyDescent="0.3">
      <c r="A69" s="4" t="s">
        <v>64</v>
      </c>
      <c r="B69" s="4" t="s">
        <v>34</v>
      </c>
      <c r="C69" s="4" t="s">
        <v>10</v>
      </c>
      <c r="D69" s="4" t="s">
        <v>18</v>
      </c>
      <c r="E69" s="4">
        <v>1371.34</v>
      </c>
      <c r="F69" s="4">
        <v>5</v>
      </c>
      <c r="G69" s="4">
        <f t="shared" si="9"/>
        <v>6856.7</v>
      </c>
      <c r="H69" s="8">
        <v>0.05</v>
      </c>
      <c r="I69" s="5">
        <v>45488</v>
      </c>
      <c r="J69" s="4">
        <v>455.97</v>
      </c>
      <c r="K69" s="10">
        <f t="shared" si="8"/>
        <v>6513.8649999999998</v>
      </c>
      <c r="L69" s="10">
        <f t="shared" si="10"/>
        <v>6057.8949999999995</v>
      </c>
      <c r="M69" s="16">
        <f t="shared" ca="1" si="11"/>
        <v>46105.637639351851</v>
      </c>
      <c r="R69" s="11"/>
    </row>
    <row r="70" spans="1:18" ht="15.75" customHeight="1" x14ac:dyDescent="0.3">
      <c r="A70" s="4" t="s">
        <v>35</v>
      </c>
      <c r="B70" s="4" t="s">
        <v>44</v>
      </c>
      <c r="C70" s="4" t="s">
        <v>23</v>
      </c>
      <c r="D70" s="4" t="s">
        <v>30</v>
      </c>
      <c r="E70" s="4">
        <v>1020.26</v>
      </c>
      <c r="F70" s="4">
        <v>11</v>
      </c>
      <c r="G70" s="4">
        <f t="shared" si="9"/>
        <v>11222.86</v>
      </c>
      <c r="H70" s="8">
        <v>0.05</v>
      </c>
      <c r="I70" s="5">
        <v>45494</v>
      </c>
      <c r="J70" s="4">
        <v>242.31</v>
      </c>
      <c r="K70" s="10">
        <f t="shared" si="8"/>
        <v>10661.717000000001</v>
      </c>
      <c r="L70" s="10">
        <f t="shared" si="10"/>
        <v>10419.407000000001</v>
      </c>
      <c r="M70" s="16">
        <f t="shared" ca="1" si="11"/>
        <v>46105.637639351851</v>
      </c>
      <c r="R70" s="11"/>
    </row>
    <row r="71" spans="1:18" ht="15.75" customHeight="1" x14ac:dyDescent="0.3">
      <c r="A71" s="4" t="s">
        <v>20</v>
      </c>
      <c r="B71" s="4" t="s">
        <v>26</v>
      </c>
      <c r="C71" s="4" t="s">
        <v>15</v>
      </c>
      <c r="D71" s="4" t="s">
        <v>9</v>
      </c>
      <c r="E71" s="4">
        <v>804.81</v>
      </c>
      <c r="F71" s="4">
        <v>1</v>
      </c>
      <c r="G71" s="4">
        <f t="shared" si="9"/>
        <v>804.81</v>
      </c>
      <c r="H71" s="8">
        <v>0.05</v>
      </c>
      <c r="I71" s="5">
        <v>45502</v>
      </c>
      <c r="J71" s="4">
        <v>344.06</v>
      </c>
      <c r="K71" s="10">
        <f t="shared" si="8"/>
        <v>764.56949999999995</v>
      </c>
      <c r="L71" s="10">
        <f t="shared" si="10"/>
        <v>420.50949999999995</v>
      </c>
      <c r="M71" s="16">
        <f t="shared" ca="1" si="11"/>
        <v>46105.637639351851</v>
      </c>
      <c r="R71" s="11"/>
    </row>
    <row r="72" spans="1:18" ht="15.75" customHeight="1" x14ac:dyDescent="0.3">
      <c r="A72" s="4" t="s">
        <v>25</v>
      </c>
      <c r="B72" s="4" t="s">
        <v>34</v>
      </c>
      <c r="C72" s="4" t="s">
        <v>15</v>
      </c>
      <c r="D72" s="4" t="s">
        <v>30</v>
      </c>
      <c r="E72" s="4">
        <v>608.66</v>
      </c>
      <c r="F72" s="4">
        <v>1</v>
      </c>
      <c r="G72" s="4">
        <f t="shared" si="9"/>
        <v>608.66</v>
      </c>
      <c r="H72" s="8">
        <v>0.05</v>
      </c>
      <c r="I72" s="5">
        <v>45503</v>
      </c>
      <c r="J72" s="4">
        <v>144.56</v>
      </c>
      <c r="K72" s="10">
        <f t="shared" si="8"/>
        <v>578.22699999999998</v>
      </c>
      <c r="L72" s="10">
        <f t="shared" si="10"/>
        <v>433.66699999999997</v>
      </c>
      <c r="M72" s="16">
        <f t="shared" ca="1" si="11"/>
        <v>46105.637639351851</v>
      </c>
      <c r="R72" s="11"/>
    </row>
    <row r="73" spans="1:18" ht="15.75" customHeight="1" x14ac:dyDescent="0.3">
      <c r="A73" s="4" t="s">
        <v>64</v>
      </c>
      <c r="B73" s="4" t="s">
        <v>53</v>
      </c>
      <c r="C73" s="4" t="s">
        <v>3</v>
      </c>
      <c r="D73" s="4" t="s">
        <v>9</v>
      </c>
      <c r="E73" s="4">
        <v>981.2</v>
      </c>
      <c r="F73" s="4">
        <v>19</v>
      </c>
      <c r="G73" s="4">
        <f t="shared" si="9"/>
        <v>18642.8</v>
      </c>
      <c r="H73" s="8">
        <v>0</v>
      </c>
      <c r="I73" s="5">
        <v>45504</v>
      </c>
      <c r="J73" s="4">
        <v>441.54</v>
      </c>
      <c r="K73" s="10">
        <f t="shared" si="8"/>
        <v>18642.8</v>
      </c>
      <c r="L73" s="10">
        <f t="shared" si="10"/>
        <v>18201.259999999998</v>
      </c>
      <c r="M73" s="16">
        <f t="shared" ca="1" si="11"/>
        <v>46105.637639351851</v>
      </c>
      <c r="R73" s="11"/>
    </row>
    <row r="74" spans="1:18" ht="15.75" customHeight="1" x14ac:dyDescent="0.3">
      <c r="A74" s="4" t="s">
        <v>16</v>
      </c>
      <c r="B74" s="4" t="s">
        <v>34</v>
      </c>
      <c r="C74" s="4" t="s">
        <v>7</v>
      </c>
      <c r="D74" s="4" t="s">
        <v>30</v>
      </c>
      <c r="E74" s="4">
        <v>539.77</v>
      </c>
      <c r="F74" s="4">
        <v>10</v>
      </c>
      <c r="G74" s="4">
        <f t="shared" si="9"/>
        <v>5397.7</v>
      </c>
      <c r="H74" s="8">
        <v>0.15</v>
      </c>
      <c r="I74" s="5">
        <v>45509</v>
      </c>
      <c r="J74" s="4">
        <v>114.7</v>
      </c>
      <c r="K74" s="10">
        <f t="shared" si="8"/>
        <v>4588.0450000000001</v>
      </c>
      <c r="L74" s="10">
        <f t="shared" si="10"/>
        <v>4473.3450000000003</v>
      </c>
      <c r="M74" s="16">
        <f t="shared" ca="1" si="11"/>
        <v>46105.637639351851</v>
      </c>
      <c r="R74" s="11"/>
    </row>
    <row r="75" spans="1:18" ht="15.75" customHeight="1" x14ac:dyDescent="0.3">
      <c r="A75" s="4" t="s">
        <v>48</v>
      </c>
      <c r="B75" s="4" t="s">
        <v>21</v>
      </c>
      <c r="C75" s="4" t="s">
        <v>3</v>
      </c>
      <c r="D75" s="4" t="s">
        <v>6</v>
      </c>
      <c r="E75" s="4">
        <v>804.45</v>
      </c>
      <c r="F75" s="4">
        <v>5</v>
      </c>
      <c r="G75" s="4">
        <f t="shared" si="9"/>
        <v>4022.25</v>
      </c>
      <c r="H75" s="8">
        <v>0.2</v>
      </c>
      <c r="I75" s="5">
        <v>45509</v>
      </c>
      <c r="J75" s="4">
        <v>257.42</v>
      </c>
      <c r="K75" s="10">
        <f t="shared" si="8"/>
        <v>3217.8</v>
      </c>
      <c r="L75" s="10">
        <f t="shared" si="10"/>
        <v>2960.38</v>
      </c>
      <c r="M75" s="16">
        <f t="shared" ca="1" si="11"/>
        <v>46105.637639351851</v>
      </c>
      <c r="R75" s="11"/>
    </row>
    <row r="76" spans="1:18" ht="15.75" customHeight="1" x14ac:dyDescent="0.3">
      <c r="A76" s="4" t="s">
        <v>16</v>
      </c>
      <c r="B76" s="4" t="s">
        <v>36</v>
      </c>
      <c r="C76" s="4" t="s">
        <v>10</v>
      </c>
      <c r="D76" s="4" t="s">
        <v>30</v>
      </c>
      <c r="E76" s="4">
        <v>1526.6</v>
      </c>
      <c r="F76" s="4">
        <v>13</v>
      </c>
      <c r="G76" s="4">
        <f t="shared" si="9"/>
        <v>19845.8</v>
      </c>
      <c r="H76" s="8">
        <v>0.2</v>
      </c>
      <c r="I76" s="5">
        <v>45512</v>
      </c>
      <c r="J76" s="4">
        <v>305.32</v>
      </c>
      <c r="K76" s="10">
        <f t="shared" si="8"/>
        <v>15876.64</v>
      </c>
      <c r="L76" s="10">
        <f t="shared" si="10"/>
        <v>15571.32</v>
      </c>
      <c r="M76" s="16">
        <f t="shared" ca="1" si="11"/>
        <v>46105.637639351851</v>
      </c>
      <c r="R76" s="11"/>
    </row>
    <row r="77" spans="1:18" ht="15.75" customHeight="1" x14ac:dyDescent="0.3">
      <c r="A77" s="4" t="s">
        <v>48</v>
      </c>
      <c r="B77" s="4" t="s">
        <v>39</v>
      </c>
      <c r="C77" s="4" t="s">
        <v>10</v>
      </c>
      <c r="D77" s="4" t="s">
        <v>30</v>
      </c>
      <c r="E77" s="4">
        <v>1215.26</v>
      </c>
      <c r="F77" s="4">
        <v>5</v>
      </c>
      <c r="G77" s="4">
        <f t="shared" si="9"/>
        <v>6076.3</v>
      </c>
      <c r="H77" s="8">
        <v>0.15</v>
      </c>
      <c r="I77" s="5">
        <v>45513</v>
      </c>
      <c r="J77" s="4">
        <v>258.24</v>
      </c>
      <c r="K77" s="10">
        <f t="shared" si="8"/>
        <v>5164.8550000000005</v>
      </c>
      <c r="L77" s="10">
        <f t="shared" si="10"/>
        <v>4906.6150000000007</v>
      </c>
      <c r="M77" s="16">
        <f t="shared" ca="1" si="11"/>
        <v>46105.637639351851</v>
      </c>
      <c r="R77" s="11"/>
    </row>
    <row r="78" spans="1:18" ht="15.75" customHeight="1" x14ac:dyDescent="0.3">
      <c r="A78" s="4" t="s">
        <v>65</v>
      </c>
      <c r="B78" s="4" t="s">
        <v>24</v>
      </c>
      <c r="C78" s="4" t="s">
        <v>15</v>
      </c>
      <c r="D78" s="4" t="s">
        <v>18</v>
      </c>
      <c r="E78" s="4">
        <v>1261.3399999999999</v>
      </c>
      <c r="F78" s="4">
        <v>3</v>
      </c>
      <c r="G78" s="4">
        <f t="shared" si="9"/>
        <v>3784.0199999999995</v>
      </c>
      <c r="H78" s="8">
        <v>0</v>
      </c>
      <c r="I78" s="5">
        <v>45519</v>
      </c>
      <c r="J78" s="4">
        <v>441.47</v>
      </c>
      <c r="K78" s="10">
        <f t="shared" si="8"/>
        <v>3784.0199999999995</v>
      </c>
      <c r="L78" s="10">
        <f t="shared" si="10"/>
        <v>3342.5499999999993</v>
      </c>
      <c r="M78" s="16">
        <f t="shared" ca="1" si="11"/>
        <v>46105.637639351851</v>
      </c>
      <c r="R78" s="11"/>
    </row>
    <row r="79" spans="1:18" ht="15.75" customHeight="1" x14ac:dyDescent="0.3">
      <c r="A79" s="4" t="s">
        <v>40</v>
      </c>
      <c r="B79" s="4" t="s">
        <v>47</v>
      </c>
      <c r="C79" s="4" t="s">
        <v>23</v>
      </c>
      <c r="D79" s="4" t="s">
        <v>18</v>
      </c>
      <c r="E79" s="4">
        <v>518.07000000000005</v>
      </c>
      <c r="F79" s="4">
        <v>7</v>
      </c>
      <c r="G79" s="4">
        <f t="shared" si="9"/>
        <v>3626.4900000000002</v>
      </c>
      <c r="H79" s="8">
        <v>0.05</v>
      </c>
      <c r="I79" s="5">
        <v>45522</v>
      </c>
      <c r="J79" s="4">
        <v>172.26</v>
      </c>
      <c r="K79" s="10">
        <f t="shared" si="8"/>
        <v>3445.1655000000001</v>
      </c>
      <c r="L79" s="10">
        <f t="shared" si="10"/>
        <v>3272.9054999999998</v>
      </c>
      <c r="M79" s="16">
        <f t="shared" ca="1" si="11"/>
        <v>46105.637639351851</v>
      </c>
      <c r="R79" s="11"/>
    </row>
    <row r="80" spans="1:18" ht="15.75" customHeight="1" x14ac:dyDescent="0.3">
      <c r="A80" s="4" t="s">
        <v>46</v>
      </c>
      <c r="B80" s="4" t="s">
        <v>39</v>
      </c>
      <c r="C80" s="4" t="s">
        <v>10</v>
      </c>
      <c r="D80" s="4" t="s">
        <v>9</v>
      </c>
      <c r="E80" s="4">
        <v>1111.3399999999999</v>
      </c>
      <c r="F80" s="4">
        <v>1</v>
      </c>
      <c r="G80" s="4">
        <f t="shared" si="9"/>
        <v>1111.3399999999999</v>
      </c>
      <c r="H80" s="8">
        <v>0</v>
      </c>
      <c r="I80" s="5">
        <v>45523</v>
      </c>
      <c r="J80" s="4">
        <v>500.1</v>
      </c>
      <c r="K80" s="10">
        <f t="shared" si="8"/>
        <v>1111.3399999999999</v>
      </c>
      <c r="L80" s="10">
        <f t="shared" si="10"/>
        <v>611.2399999999999</v>
      </c>
      <c r="M80" s="16">
        <f t="shared" ca="1" si="11"/>
        <v>46105.637639351851</v>
      </c>
      <c r="R80" s="11"/>
    </row>
    <row r="81" spans="1:18" ht="15.75" customHeight="1" x14ac:dyDescent="0.3">
      <c r="A81" s="4" t="s">
        <v>25</v>
      </c>
      <c r="B81" s="4" t="s">
        <v>41</v>
      </c>
      <c r="C81" s="4" t="s">
        <v>7</v>
      </c>
      <c r="D81" s="4" t="s">
        <v>2</v>
      </c>
      <c r="E81" s="4">
        <v>1291.47</v>
      </c>
      <c r="F81" s="4">
        <v>18</v>
      </c>
      <c r="G81" s="4">
        <f t="shared" si="9"/>
        <v>23246.46</v>
      </c>
      <c r="H81" s="8">
        <v>0.1</v>
      </c>
      <c r="I81" s="5">
        <v>45526</v>
      </c>
      <c r="J81" s="4">
        <v>581.16</v>
      </c>
      <c r="K81" s="10">
        <f t="shared" si="8"/>
        <v>20921.813999999998</v>
      </c>
      <c r="L81" s="10">
        <f t="shared" si="10"/>
        <v>20340.653999999999</v>
      </c>
      <c r="M81" s="16">
        <f t="shared" ca="1" si="11"/>
        <v>46105.637639351851</v>
      </c>
      <c r="R81" s="11"/>
    </row>
    <row r="82" spans="1:18" ht="15.75" customHeight="1" x14ac:dyDescent="0.3">
      <c r="A82" s="4" t="s">
        <v>27</v>
      </c>
      <c r="B82" s="4" t="s">
        <v>34</v>
      </c>
      <c r="C82" s="4" t="s">
        <v>23</v>
      </c>
      <c r="D82" s="4" t="s">
        <v>6</v>
      </c>
      <c r="E82" s="4">
        <v>679.71</v>
      </c>
      <c r="F82" s="4">
        <v>19</v>
      </c>
      <c r="G82" s="4">
        <f t="shared" si="9"/>
        <v>12914.490000000002</v>
      </c>
      <c r="H82" s="8">
        <v>0</v>
      </c>
      <c r="I82" s="5">
        <v>45534</v>
      </c>
      <c r="J82" s="4">
        <v>271.88</v>
      </c>
      <c r="K82" s="10">
        <f t="shared" si="8"/>
        <v>12914.490000000002</v>
      </c>
      <c r="L82" s="10">
        <f t="shared" si="10"/>
        <v>12642.610000000002</v>
      </c>
      <c r="M82" s="16">
        <f t="shared" ca="1" si="11"/>
        <v>46105.637639351851</v>
      </c>
      <c r="R82" s="11"/>
    </row>
    <row r="83" spans="1:18" ht="15.75" customHeight="1" x14ac:dyDescent="0.3">
      <c r="A83" s="4" t="s">
        <v>64</v>
      </c>
      <c r="B83" s="4" t="s">
        <v>62</v>
      </c>
      <c r="C83" s="4" t="s">
        <v>7</v>
      </c>
      <c r="D83" s="4" t="s">
        <v>18</v>
      </c>
      <c r="E83" s="4">
        <v>1143.69</v>
      </c>
      <c r="F83" s="4">
        <v>17</v>
      </c>
      <c r="G83" s="4">
        <f t="shared" si="9"/>
        <v>19442.73</v>
      </c>
      <c r="H83" s="8">
        <v>0</v>
      </c>
      <c r="I83" s="5">
        <v>45534</v>
      </c>
      <c r="J83" s="4">
        <v>400.29</v>
      </c>
      <c r="K83" s="10">
        <f t="shared" si="8"/>
        <v>19442.73</v>
      </c>
      <c r="L83" s="10">
        <f t="shared" si="10"/>
        <v>19042.439999999999</v>
      </c>
      <c r="M83" s="16">
        <f t="shared" ca="1" si="11"/>
        <v>46105.637639351851</v>
      </c>
      <c r="R83" s="11"/>
    </row>
    <row r="84" spans="1:18" ht="15.75" customHeight="1" x14ac:dyDescent="0.3">
      <c r="A84" s="4" t="s">
        <v>14</v>
      </c>
      <c r="B84" s="4" t="s">
        <v>58</v>
      </c>
      <c r="C84" s="4" t="s">
        <v>15</v>
      </c>
      <c r="D84" s="4" t="s">
        <v>30</v>
      </c>
      <c r="E84" s="4">
        <v>790.08</v>
      </c>
      <c r="F84" s="4">
        <v>7</v>
      </c>
      <c r="G84" s="4">
        <f t="shared" si="9"/>
        <v>5530.56</v>
      </c>
      <c r="H84" s="8">
        <v>0.1</v>
      </c>
      <c r="I84" s="5">
        <v>45536</v>
      </c>
      <c r="J84" s="4">
        <v>177.77</v>
      </c>
      <c r="K84" s="10">
        <f t="shared" si="8"/>
        <v>4977.5040000000008</v>
      </c>
      <c r="L84" s="10">
        <f t="shared" si="10"/>
        <v>4799.7340000000004</v>
      </c>
      <c r="M84" s="16">
        <f t="shared" ca="1" si="11"/>
        <v>46105.637639351851</v>
      </c>
      <c r="R84" s="11"/>
    </row>
    <row r="85" spans="1:18" ht="15.75" customHeight="1" x14ac:dyDescent="0.3">
      <c r="A85" s="4" t="s">
        <v>65</v>
      </c>
      <c r="B85" s="4" t="s">
        <v>50</v>
      </c>
      <c r="C85" s="4" t="s">
        <v>15</v>
      </c>
      <c r="D85" s="4" t="s">
        <v>6</v>
      </c>
      <c r="E85" s="4">
        <v>1070.68</v>
      </c>
      <c r="F85" s="4">
        <v>7</v>
      </c>
      <c r="G85" s="4">
        <f t="shared" si="9"/>
        <v>7494.76</v>
      </c>
      <c r="H85" s="8">
        <v>0.05</v>
      </c>
      <c r="I85" s="5">
        <v>45536</v>
      </c>
      <c r="J85" s="4">
        <v>406.86</v>
      </c>
      <c r="K85" s="10">
        <f t="shared" si="8"/>
        <v>7120.0219999999999</v>
      </c>
      <c r="L85" s="10">
        <f t="shared" si="10"/>
        <v>6713.1620000000003</v>
      </c>
      <c r="M85" s="16">
        <f t="shared" ca="1" si="11"/>
        <v>46105.637639351851</v>
      </c>
      <c r="R85" s="11"/>
    </row>
    <row r="86" spans="1:18" ht="15.75" customHeight="1" x14ac:dyDescent="0.3">
      <c r="A86" s="4" t="s">
        <v>12</v>
      </c>
      <c r="B86" s="4" t="s">
        <v>4</v>
      </c>
      <c r="C86" s="4" t="s">
        <v>10</v>
      </c>
      <c r="D86" s="4" t="s">
        <v>2</v>
      </c>
      <c r="E86" s="4">
        <v>1168.8900000000001</v>
      </c>
      <c r="F86" s="4">
        <v>4</v>
      </c>
      <c r="G86" s="4">
        <f t="shared" si="9"/>
        <v>4675.5600000000004</v>
      </c>
      <c r="H86" s="8">
        <v>0.1</v>
      </c>
      <c r="I86" s="5">
        <v>45544</v>
      </c>
      <c r="J86" s="4">
        <v>526</v>
      </c>
      <c r="K86" s="10">
        <f t="shared" si="8"/>
        <v>4208.0040000000008</v>
      </c>
      <c r="L86" s="10">
        <f t="shared" si="10"/>
        <v>3682.0040000000008</v>
      </c>
      <c r="M86" s="16">
        <f t="shared" ca="1" si="11"/>
        <v>46105.637639351851</v>
      </c>
      <c r="R86" s="11"/>
    </row>
    <row r="87" spans="1:18" ht="15.75" customHeight="1" x14ac:dyDescent="0.3">
      <c r="A87" s="4" t="s">
        <v>37</v>
      </c>
      <c r="B87" s="4" t="s">
        <v>26</v>
      </c>
      <c r="C87" s="4" t="s">
        <v>3</v>
      </c>
      <c r="D87" s="4" t="s">
        <v>30</v>
      </c>
      <c r="E87" s="4">
        <v>1335.87</v>
      </c>
      <c r="F87" s="4">
        <v>17</v>
      </c>
      <c r="G87" s="4">
        <f t="shared" si="9"/>
        <v>22709.789999999997</v>
      </c>
      <c r="H87" s="8">
        <v>0</v>
      </c>
      <c r="I87" s="5">
        <v>45544</v>
      </c>
      <c r="J87" s="4">
        <v>333.97</v>
      </c>
      <c r="K87" s="10">
        <f t="shared" si="8"/>
        <v>22709.789999999997</v>
      </c>
      <c r="L87" s="10">
        <f t="shared" si="10"/>
        <v>22375.819999999996</v>
      </c>
      <c r="M87" s="16">
        <f t="shared" ca="1" si="11"/>
        <v>46105.637639351851</v>
      </c>
      <c r="R87" s="11"/>
    </row>
    <row r="88" spans="1:18" ht="15.75" customHeight="1" x14ac:dyDescent="0.3">
      <c r="A88" s="4" t="s">
        <v>33</v>
      </c>
      <c r="B88" s="4" t="s">
        <v>34</v>
      </c>
      <c r="C88" s="4" t="s">
        <v>7</v>
      </c>
      <c r="D88" s="4" t="s">
        <v>18</v>
      </c>
      <c r="E88" s="4">
        <v>873.7</v>
      </c>
      <c r="F88" s="4">
        <v>9</v>
      </c>
      <c r="G88" s="4">
        <f t="shared" si="9"/>
        <v>7863.3</v>
      </c>
      <c r="H88" s="8">
        <v>0</v>
      </c>
      <c r="I88" s="5">
        <v>45546</v>
      </c>
      <c r="J88" s="4">
        <v>305.8</v>
      </c>
      <c r="K88" s="10">
        <f t="shared" si="8"/>
        <v>7863.3</v>
      </c>
      <c r="L88" s="10">
        <f t="shared" si="10"/>
        <v>7557.5</v>
      </c>
      <c r="M88" s="16">
        <f t="shared" ca="1" si="11"/>
        <v>46105.637639351851</v>
      </c>
      <c r="R88" s="11"/>
    </row>
    <row r="89" spans="1:18" ht="15.75" customHeight="1" x14ac:dyDescent="0.3">
      <c r="A89" s="4" t="s">
        <v>40</v>
      </c>
      <c r="B89" s="4" t="s">
        <v>38</v>
      </c>
      <c r="C89" s="4" t="s">
        <v>10</v>
      </c>
      <c r="D89" s="4" t="s">
        <v>9</v>
      </c>
      <c r="E89" s="4">
        <v>1443.98</v>
      </c>
      <c r="F89" s="4">
        <v>19</v>
      </c>
      <c r="G89" s="4">
        <f t="shared" si="9"/>
        <v>27435.62</v>
      </c>
      <c r="H89" s="8">
        <v>0</v>
      </c>
      <c r="I89" s="5">
        <v>45547</v>
      </c>
      <c r="J89" s="4">
        <v>649.79</v>
      </c>
      <c r="K89" s="10">
        <f t="shared" si="8"/>
        <v>27435.62</v>
      </c>
      <c r="L89" s="10">
        <f t="shared" si="10"/>
        <v>26785.829999999998</v>
      </c>
      <c r="M89" s="16">
        <f t="shared" ca="1" si="11"/>
        <v>46105.637639351851</v>
      </c>
      <c r="R89" s="11"/>
    </row>
    <row r="90" spans="1:18" ht="15.75" customHeight="1" x14ac:dyDescent="0.3">
      <c r="A90" s="4" t="s">
        <v>33</v>
      </c>
      <c r="B90" s="4" t="s">
        <v>49</v>
      </c>
      <c r="C90" s="4" t="s">
        <v>7</v>
      </c>
      <c r="D90" s="4" t="s">
        <v>9</v>
      </c>
      <c r="E90" s="4">
        <v>1154.33</v>
      </c>
      <c r="F90" s="4">
        <v>11</v>
      </c>
      <c r="G90" s="4">
        <f t="shared" si="9"/>
        <v>12697.63</v>
      </c>
      <c r="H90" s="8">
        <v>0.15</v>
      </c>
      <c r="I90" s="5">
        <v>45549</v>
      </c>
      <c r="J90" s="4">
        <v>441.53</v>
      </c>
      <c r="K90" s="10">
        <f t="shared" si="8"/>
        <v>10792.985499999999</v>
      </c>
      <c r="L90" s="10">
        <f t="shared" si="10"/>
        <v>10351.455499999998</v>
      </c>
      <c r="M90" s="16">
        <f t="shared" ca="1" si="11"/>
        <v>46105.637639351851</v>
      </c>
      <c r="R90" s="11"/>
    </row>
    <row r="91" spans="1:18" ht="15.75" customHeight="1" x14ac:dyDescent="0.3">
      <c r="A91" s="4" t="s">
        <v>54</v>
      </c>
      <c r="B91" s="4" t="s">
        <v>58</v>
      </c>
      <c r="C91" s="4" t="s">
        <v>3</v>
      </c>
      <c r="D91" s="4" t="s">
        <v>6</v>
      </c>
      <c r="E91" s="4">
        <v>1264.49</v>
      </c>
      <c r="F91" s="4">
        <v>16</v>
      </c>
      <c r="G91" s="4">
        <f t="shared" si="9"/>
        <v>20231.84</v>
      </c>
      <c r="H91" s="8">
        <v>0.05</v>
      </c>
      <c r="I91" s="5">
        <v>45549</v>
      </c>
      <c r="J91" s="4">
        <v>480.51</v>
      </c>
      <c r="K91" s="10">
        <f t="shared" si="8"/>
        <v>19220.248</v>
      </c>
      <c r="L91" s="10">
        <f t="shared" si="10"/>
        <v>18739.738000000001</v>
      </c>
      <c r="M91" s="16">
        <f t="shared" ca="1" si="11"/>
        <v>46105.637639351851</v>
      </c>
      <c r="R91" s="11"/>
    </row>
    <row r="92" spans="1:18" ht="15.75" customHeight="1" x14ac:dyDescent="0.3">
      <c r="A92" s="4" t="s">
        <v>27</v>
      </c>
      <c r="B92" s="4" t="s">
        <v>56</v>
      </c>
      <c r="C92" s="4" t="s">
        <v>10</v>
      </c>
      <c r="D92" s="4" t="s">
        <v>18</v>
      </c>
      <c r="E92" s="4">
        <v>1101.55</v>
      </c>
      <c r="F92" s="4">
        <v>4</v>
      </c>
      <c r="G92" s="4">
        <f t="shared" si="9"/>
        <v>4406.2</v>
      </c>
      <c r="H92" s="8">
        <v>0.1</v>
      </c>
      <c r="I92" s="5">
        <v>45551</v>
      </c>
      <c r="J92" s="4">
        <v>346.99</v>
      </c>
      <c r="K92" s="10">
        <f t="shared" si="8"/>
        <v>3965.58</v>
      </c>
      <c r="L92" s="10">
        <f t="shared" si="10"/>
        <v>3618.59</v>
      </c>
      <c r="M92" s="16">
        <f t="shared" ca="1" si="11"/>
        <v>46105.637639351851</v>
      </c>
      <c r="R92" s="11"/>
    </row>
    <row r="93" spans="1:18" ht="15.75" customHeight="1" x14ac:dyDescent="0.3">
      <c r="A93" s="4" t="s">
        <v>43</v>
      </c>
      <c r="B93" s="4" t="s">
        <v>13</v>
      </c>
      <c r="C93" s="4" t="s">
        <v>3</v>
      </c>
      <c r="D93" s="4" t="s">
        <v>18</v>
      </c>
      <c r="E93" s="4">
        <v>727.73</v>
      </c>
      <c r="F93" s="4">
        <v>1</v>
      </c>
      <c r="G93" s="4">
        <f t="shared" si="9"/>
        <v>727.73</v>
      </c>
      <c r="H93" s="8">
        <v>0.1</v>
      </c>
      <c r="I93" s="5">
        <v>45552</v>
      </c>
      <c r="J93" s="4">
        <v>229.23</v>
      </c>
      <c r="K93" s="10">
        <f t="shared" si="8"/>
        <v>654.95699999999999</v>
      </c>
      <c r="L93" s="10">
        <f t="shared" si="10"/>
        <v>425.72699999999998</v>
      </c>
      <c r="M93" s="16">
        <f t="shared" ca="1" si="11"/>
        <v>46105.637639351851</v>
      </c>
      <c r="R93" s="11"/>
    </row>
    <row r="94" spans="1:18" ht="15.75" customHeight="1" x14ac:dyDescent="0.3">
      <c r="A94" s="4" t="s">
        <v>57</v>
      </c>
      <c r="B94" s="4" t="s">
        <v>36</v>
      </c>
      <c r="C94" s="4" t="s">
        <v>7</v>
      </c>
      <c r="D94" s="4" t="s">
        <v>9</v>
      </c>
      <c r="E94" s="4">
        <v>875.41</v>
      </c>
      <c r="F94" s="4">
        <v>13</v>
      </c>
      <c r="G94" s="4">
        <f t="shared" si="9"/>
        <v>11380.33</v>
      </c>
      <c r="H94" s="8">
        <v>0.15</v>
      </c>
      <c r="I94" s="5">
        <v>45552</v>
      </c>
      <c r="J94" s="4">
        <v>334.84</v>
      </c>
      <c r="K94" s="10">
        <f t="shared" si="8"/>
        <v>9673.2804999999989</v>
      </c>
      <c r="L94" s="10">
        <f t="shared" si="10"/>
        <v>9338.4404999999988</v>
      </c>
      <c r="M94" s="16">
        <f t="shared" ca="1" si="11"/>
        <v>46105.637639351851</v>
      </c>
      <c r="R94" s="11"/>
    </row>
    <row r="95" spans="1:18" ht="15.75" customHeight="1" x14ac:dyDescent="0.3">
      <c r="A95" s="4" t="s">
        <v>37</v>
      </c>
      <c r="B95" s="4" t="s">
        <v>49</v>
      </c>
      <c r="C95" s="4" t="s">
        <v>10</v>
      </c>
      <c r="D95" s="4" t="s">
        <v>30</v>
      </c>
      <c r="E95" s="4">
        <v>1158.94</v>
      </c>
      <c r="F95" s="4">
        <v>19</v>
      </c>
      <c r="G95" s="4">
        <f t="shared" si="9"/>
        <v>22019.86</v>
      </c>
      <c r="H95" s="8">
        <v>0.2</v>
      </c>
      <c r="I95" s="5">
        <v>45553</v>
      </c>
      <c r="J95" s="4">
        <v>231.79</v>
      </c>
      <c r="K95" s="10">
        <f t="shared" si="8"/>
        <v>17615.888000000003</v>
      </c>
      <c r="L95" s="10">
        <f t="shared" si="10"/>
        <v>17384.098000000002</v>
      </c>
      <c r="M95" s="16">
        <f t="shared" ca="1" si="11"/>
        <v>46105.637639351851</v>
      </c>
      <c r="R95" s="11"/>
    </row>
    <row r="96" spans="1:18" ht="15.75" customHeight="1" x14ac:dyDescent="0.3">
      <c r="A96" s="4" t="s">
        <v>22</v>
      </c>
      <c r="B96" s="4" t="s">
        <v>44</v>
      </c>
      <c r="C96" s="4" t="s">
        <v>3</v>
      </c>
      <c r="D96" s="4" t="s">
        <v>6</v>
      </c>
      <c r="E96" s="4">
        <v>966.3</v>
      </c>
      <c r="F96" s="4">
        <v>2</v>
      </c>
      <c r="G96" s="4">
        <f t="shared" si="9"/>
        <v>1932.6</v>
      </c>
      <c r="H96" s="8">
        <v>0.15</v>
      </c>
      <c r="I96" s="5">
        <v>45557</v>
      </c>
      <c r="J96" s="4">
        <v>328.54</v>
      </c>
      <c r="K96" s="10">
        <f t="shared" si="8"/>
        <v>1642.7099999999998</v>
      </c>
      <c r="L96" s="10">
        <f t="shared" si="10"/>
        <v>1314.1699999999998</v>
      </c>
      <c r="M96" s="16">
        <f t="shared" ca="1" si="11"/>
        <v>46105.637639351851</v>
      </c>
      <c r="R96" s="11"/>
    </row>
    <row r="97" spans="1:18" ht="15.75" customHeight="1" x14ac:dyDescent="0.3">
      <c r="A97" s="4" t="s">
        <v>64</v>
      </c>
      <c r="B97" s="4" t="s">
        <v>51</v>
      </c>
      <c r="C97" s="4" t="s">
        <v>3</v>
      </c>
      <c r="D97" s="4" t="s">
        <v>6</v>
      </c>
      <c r="E97" s="4">
        <v>917.48</v>
      </c>
      <c r="F97" s="4">
        <v>6</v>
      </c>
      <c r="G97" s="4">
        <f t="shared" si="9"/>
        <v>5504.88</v>
      </c>
      <c r="H97" s="8">
        <v>0</v>
      </c>
      <c r="I97" s="5">
        <v>45558</v>
      </c>
      <c r="J97" s="4">
        <v>366.99</v>
      </c>
      <c r="K97" s="10">
        <f t="shared" si="8"/>
        <v>5504.88</v>
      </c>
      <c r="L97" s="10">
        <f t="shared" si="10"/>
        <v>5137.8900000000003</v>
      </c>
      <c r="M97" s="16">
        <f t="shared" ca="1" si="11"/>
        <v>46105.637639351851</v>
      </c>
      <c r="R97" s="11"/>
    </row>
    <row r="98" spans="1:18" ht="15.75" customHeight="1" x14ac:dyDescent="0.3">
      <c r="A98" s="4" t="s">
        <v>31</v>
      </c>
      <c r="B98" s="4" t="s">
        <v>19</v>
      </c>
      <c r="C98" s="4" t="s">
        <v>10</v>
      </c>
      <c r="D98" s="4" t="s">
        <v>18</v>
      </c>
      <c r="E98" s="4">
        <v>1172.97</v>
      </c>
      <c r="F98" s="4">
        <v>7</v>
      </c>
      <c r="G98" s="4">
        <f t="shared" si="9"/>
        <v>8210.7900000000009</v>
      </c>
      <c r="H98" s="8">
        <v>0.15</v>
      </c>
      <c r="I98" s="5">
        <v>45559</v>
      </c>
      <c r="J98" s="4">
        <v>348.96</v>
      </c>
      <c r="K98" s="10">
        <f t="shared" ref="K98:K129" si="12" xml:space="preserve"> E98 *F98 * (1 -H98)</f>
        <v>6979.1715000000004</v>
      </c>
      <c r="L98" s="10">
        <f t="shared" si="10"/>
        <v>6630.2115000000003</v>
      </c>
      <c r="M98" s="16">
        <f t="shared" ca="1" si="11"/>
        <v>46105.637639351851</v>
      </c>
      <c r="R98" s="11"/>
    </row>
    <row r="99" spans="1:18" ht="15.75" customHeight="1" x14ac:dyDescent="0.3">
      <c r="A99" s="4" t="s">
        <v>35</v>
      </c>
      <c r="B99" s="4" t="s">
        <v>49</v>
      </c>
      <c r="C99" s="4" t="s">
        <v>23</v>
      </c>
      <c r="D99" s="4" t="s">
        <v>2</v>
      </c>
      <c r="E99" s="4">
        <v>1205.82</v>
      </c>
      <c r="F99" s="4">
        <v>11</v>
      </c>
      <c r="G99" s="4">
        <f t="shared" si="9"/>
        <v>13264.019999999999</v>
      </c>
      <c r="H99" s="8">
        <v>0.1</v>
      </c>
      <c r="I99" s="5">
        <v>45559</v>
      </c>
      <c r="J99" s="4">
        <v>542.62</v>
      </c>
      <c r="K99" s="10">
        <f t="shared" si="12"/>
        <v>11937.617999999999</v>
      </c>
      <c r="L99" s="10">
        <f t="shared" si="10"/>
        <v>11394.997999999998</v>
      </c>
      <c r="M99" s="16">
        <f t="shared" ca="1" si="11"/>
        <v>46105.637639351851</v>
      </c>
      <c r="R99" s="11"/>
    </row>
    <row r="100" spans="1:18" ht="15.75" customHeight="1" x14ac:dyDescent="0.3">
      <c r="A100" s="4" t="s">
        <v>42</v>
      </c>
      <c r="B100" s="4" t="s">
        <v>38</v>
      </c>
      <c r="C100" s="4" t="s">
        <v>10</v>
      </c>
      <c r="D100" s="4" t="s">
        <v>9</v>
      </c>
      <c r="E100" s="4">
        <v>826.93</v>
      </c>
      <c r="F100" s="4">
        <v>10</v>
      </c>
      <c r="G100" s="4">
        <f t="shared" si="9"/>
        <v>8269.2999999999993</v>
      </c>
      <c r="H100" s="8">
        <v>0.2</v>
      </c>
      <c r="I100" s="5">
        <v>45564</v>
      </c>
      <c r="J100" s="4">
        <v>297.69</v>
      </c>
      <c r="K100" s="10">
        <f t="shared" si="12"/>
        <v>6615.44</v>
      </c>
      <c r="L100" s="10">
        <f t="shared" si="10"/>
        <v>6317.75</v>
      </c>
      <c r="M100" s="16">
        <f t="shared" ca="1" si="11"/>
        <v>46105.637639351851</v>
      </c>
      <c r="R100" s="11"/>
    </row>
    <row r="101" spans="1:18" ht="15.75" customHeight="1" x14ac:dyDescent="0.3">
      <c r="A101" s="4" t="s">
        <v>37</v>
      </c>
      <c r="B101" s="4" t="s">
        <v>49</v>
      </c>
      <c r="C101" s="4" t="s">
        <v>15</v>
      </c>
      <c r="D101" s="4" t="s">
        <v>2</v>
      </c>
      <c r="E101" s="4">
        <v>902.19</v>
      </c>
      <c r="F101" s="4">
        <v>12</v>
      </c>
      <c r="G101" s="4">
        <f t="shared" si="9"/>
        <v>10826.28</v>
      </c>
      <c r="H101" s="8">
        <v>0</v>
      </c>
      <c r="I101" s="5">
        <v>45564</v>
      </c>
      <c r="J101" s="4">
        <v>451.1</v>
      </c>
      <c r="K101" s="10">
        <f t="shared" si="12"/>
        <v>10826.28</v>
      </c>
      <c r="L101" s="10">
        <f t="shared" si="10"/>
        <v>10375.18</v>
      </c>
      <c r="M101" s="16">
        <f t="shared" ca="1" si="11"/>
        <v>46105.637639351851</v>
      </c>
      <c r="R101" s="11"/>
    </row>
    <row r="102" spans="1:18" ht="15.75" customHeight="1" x14ac:dyDescent="0.3">
      <c r="A102" s="4" t="s">
        <v>57</v>
      </c>
      <c r="B102" s="4" t="s">
        <v>36</v>
      </c>
      <c r="C102" s="4" t="s">
        <v>23</v>
      </c>
      <c r="D102" s="4" t="s">
        <v>6</v>
      </c>
      <c r="E102" s="4">
        <v>585.97</v>
      </c>
      <c r="F102" s="4">
        <v>17</v>
      </c>
      <c r="G102" s="4">
        <f t="shared" si="9"/>
        <v>9961.49</v>
      </c>
      <c r="H102" s="8">
        <v>0.1</v>
      </c>
      <c r="I102" s="5">
        <v>45565</v>
      </c>
      <c r="J102" s="4">
        <v>210.95</v>
      </c>
      <c r="K102" s="10">
        <f t="shared" si="12"/>
        <v>8965.3410000000003</v>
      </c>
      <c r="L102" s="10">
        <f t="shared" si="10"/>
        <v>8754.3909999999996</v>
      </c>
      <c r="M102" s="16">
        <f t="shared" ca="1" si="11"/>
        <v>46105.637639351851</v>
      </c>
      <c r="R102" s="11"/>
    </row>
    <row r="103" spans="1:18" ht="15.75" customHeight="1" x14ac:dyDescent="0.3">
      <c r="A103" s="4" t="s">
        <v>5</v>
      </c>
      <c r="B103" s="4" t="s">
        <v>28</v>
      </c>
      <c r="C103" s="4" t="s">
        <v>23</v>
      </c>
      <c r="D103" s="4" t="s">
        <v>2</v>
      </c>
      <c r="E103" s="4">
        <v>990.19</v>
      </c>
      <c r="F103" s="4">
        <v>8</v>
      </c>
      <c r="G103" s="4">
        <f t="shared" si="9"/>
        <v>7921.52</v>
      </c>
      <c r="H103" s="8">
        <v>0.1</v>
      </c>
      <c r="I103" s="5">
        <v>45565</v>
      </c>
      <c r="J103" s="4">
        <v>445.59</v>
      </c>
      <c r="K103" s="10">
        <f t="shared" si="12"/>
        <v>7129.3680000000004</v>
      </c>
      <c r="L103" s="10">
        <f t="shared" si="10"/>
        <v>6683.7780000000002</v>
      </c>
      <c r="M103" s="16">
        <f t="shared" ca="1" si="11"/>
        <v>46105.637639351851</v>
      </c>
      <c r="R103" s="11"/>
    </row>
    <row r="104" spans="1:18" ht="15.75" customHeight="1" x14ac:dyDescent="0.3">
      <c r="A104" s="4" t="s">
        <v>20</v>
      </c>
      <c r="B104" s="4" t="s">
        <v>63</v>
      </c>
      <c r="C104" s="4" t="s">
        <v>15</v>
      </c>
      <c r="D104" s="4" t="s">
        <v>30</v>
      </c>
      <c r="E104" s="4">
        <v>1014.09</v>
      </c>
      <c r="F104" s="4">
        <v>13</v>
      </c>
      <c r="G104" s="4">
        <f t="shared" si="9"/>
        <v>13183.17</v>
      </c>
      <c r="H104" s="8">
        <v>0.2</v>
      </c>
      <c r="I104" s="5">
        <v>45567</v>
      </c>
      <c r="J104" s="4">
        <v>202.82</v>
      </c>
      <c r="K104" s="10">
        <f t="shared" si="12"/>
        <v>10546.536</v>
      </c>
      <c r="L104" s="10">
        <f t="shared" si="10"/>
        <v>10343.716</v>
      </c>
      <c r="M104" s="16">
        <f t="shared" ca="1" si="11"/>
        <v>46105.637639351851</v>
      </c>
      <c r="R104" s="11"/>
    </row>
    <row r="105" spans="1:18" ht="15.75" customHeight="1" x14ac:dyDescent="0.3">
      <c r="A105" s="4" t="s">
        <v>48</v>
      </c>
      <c r="B105" s="4" t="s">
        <v>50</v>
      </c>
      <c r="C105" s="4" t="s">
        <v>23</v>
      </c>
      <c r="D105" s="4" t="s">
        <v>30</v>
      </c>
      <c r="E105" s="4">
        <v>925.29</v>
      </c>
      <c r="F105" s="4">
        <v>17</v>
      </c>
      <c r="G105" s="4">
        <f t="shared" si="9"/>
        <v>15729.93</v>
      </c>
      <c r="H105" s="8">
        <v>0</v>
      </c>
      <c r="I105" s="5">
        <v>45570</v>
      </c>
      <c r="J105" s="4">
        <v>231.32</v>
      </c>
      <c r="K105" s="10">
        <f t="shared" si="12"/>
        <v>15729.93</v>
      </c>
      <c r="L105" s="10">
        <f t="shared" si="10"/>
        <v>15498.61</v>
      </c>
      <c r="M105" s="16">
        <f t="shared" ca="1" si="11"/>
        <v>46105.637639351851</v>
      </c>
      <c r="R105" s="11"/>
    </row>
    <row r="106" spans="1:18" ht="15.75" customHeight="1" x14ac:dyDescent="0.3">
      <c r="A106" s="4" t="s">
        <v>60</v>
      </c>
      <c r="B106" s="4" t="s">
        <v>44</v>
      </c>
      <c r="C106" s="4" t="s">
        <v>7</v>
      </c>
      <c r="D106" s="4" t="s">
        <v>18</v>
      </c>
      <c r="E106" s="4">
        <v>1286.54</v>
      </c>
      <c r="F106" s="4">
        <v>8</v>
      </c>
      <c r="G106" s="4">
        <f t="shared" si="9"/>
        <v>10292.32</v>
      </c>
      <c r="H106" s="8">
        <v>0</v>
      </c>
      <c r="I106" s="5">
        <v>45575</v>
      </c>
      <c r="J106" s="4">
        <v>450.29</v>
      </c>
      <c r="K106" s="10">
        <f t="shared" si="12"/>
        <v>10292.32</v>
      </c>
      <c r="L106" s="10">
        <f t="shared" si="10"/>
        <v>9842.0299999999988</v>
      </c>
      <c r="M106" s="16">
        <f t="shared" ca="1" si="11"/>
        <v>46105.637639351851</v>
      </c>
      <c r="R106" s="11"/>
    </row>
    <row r="107" spans="1:18" ht="15.75" customHeight="1" x14ac:dyDescent="0.3">
      <c r="A107" s="4" t="s">
        <v>17</v>
      </c>
      <c r="B107" s="4" t="s">
        <v>38</v>
      </c>
      <c r="C107" s="4" t="s">
        <v>3</v>
      </c>
      <c r="D107" s="4" t="s">
        <v>6</v>
      </c>
      <c r="E107" s="4">
        <v>961.62</v>
      </c>
      <c r="F107" s="4">
        <v>8</v>
      </c>
      <c r="G107" s="4">
        <f t="shared" si="9"/>
        <v>7692.96</v>
      </c>
      <c r="H107" s="8">
        <v>0.2</v>
      </c>
      <c r="I107" s="5">
        <v>45577</v>
      </c>
      <c r="J107" s="4">
        <v>307.72000000000003</v>
      </c>
      <c r="K107" s="10">
        <f t="shared" si="12"/>
        <v>6154.3680000000004</v>
      </c>
      <c r="L107" s="10">
        <f t="shared" si="10"/>
        <v>5846.6480000000001</v>
      </c>
      <c r="M107" s="16">
        <f t="shared" ca="1" si="11"/>
        <v>46105.637639351851</v>
      </c>
      <c r="R107" s="11"/>
    </row>
    <row r="108" spans="1:18" ht="15.75" customHeight="1" x14ac:dyDescent="0.3">
      <c r="A108" s="4" t="s">
        <v>20</v>
      </c>
      <c r="B108" s="4" t="s">
        <v>49</v>
      </c>
      <c r="C108" s="4" t="s">
        <v>7</v>
      </c>
      <c r="D108" s="4" t="s">
        <v>6</v>
      </c>
      <c r="E108" s="4">
        <v>1081.1400000000001</v>
      </c>
      <c r="F108" s="4">
        <v>19</v>
      </c>
      <c r="G108" s="4">
        <f t="shared" si="9"/>
        <v>20541.660000000003</v>
      </c>
      <c r="H108" s="8">
        <v>0.15</v>
      </c>
      <c r="I108" s="5">
        <v>45577</v>
      </c>
      <c r="J108" s="4">
        <v>367.59</v>
      </c>
      <c r="K108" s="10">
        <f t="shared" si="12"/>
        <v>17460.411000000004</v>
      </c>
      <c r="L108" s="10">
        <f t="shared" si="10"/>
        <v>17092.821000000004</v>
      </c>
      <c r="M108" s="16">
        <f t="shared" ca="1" si="11"/>
        <v>46105.637639351851</v>
      </c>
      <c r="R108" s="11"/>
    </row>
    <row r="109" spans="1:18" ht="15.75" customHeight="1" x14ac:dyDescent="0.3">
      <c r="A109" s="4" t="s">
        <v>12</v>
      </c>
      <c r="B109" s="4" t="s">
        <v>49</v>
      </c>
      <c r="C109" s="4" t="s">
        <v>10</v>
      </c>
      <c r="D109" s="4" t="s">
        <v>2</v>
      </c>
      <c r="E109" s="4">
        <v>1923.66</v>
      </c>
      <c r="F109" s="4">
        <v>9</v>
      </c>
      <c r="G109" s="4">
        <f t="shared" si="9"/>
        <v>17312.940000000002</v>
      </c>
      <c r="H109" s="8">
        <v>0.2</v>
      </c>
      <c r="I109" s="5">
        <v>45580</v>
      </c>
      <c r="J109" s="4">
        <v>769.46</v>
      </c>
      <c r="K109" s="10">
        <f t="shared" si="12"/>
        <v>13850.352000000003</v>
      </c>
      <c r="L109" s="10">
        <f t="shared" si="10"/>
        <v>13080.892000000003</v>
      </c>
      <c r="M109" s="16">
        <f t="shared" ca="1" si="11"/>
        <v>46105.637639351851</v>
      </c>
      <c r="R109" s="11"/>
    </row>
    <row r="110" spans="1:18" ht="15.75" customHeight="1" x14ac:dyDescent="0.3">
      <c r="A110" s="4" t="s">
        <v>60</v>
      </c>
      <c r="B110" s="4" t="s">
        <v>56</v>
      </c>
      <c r="C110" s="4" t="s">
        <v>15</v>
      </c>
      <c r="D110" s="4" t="s">
        <v>2</v>
      </c>
      <c r="E110" s="4">
        <v>728.71</v>
      </c>
      <c r="F110" s="4">
        <v>14</v>
      </c>
      <c r="G110" s="4">
        <f t="shared" si="9"/>
        <v>10201.94</v>
      </c>
      <c r="H110" s="8">
        <v>0.1</v>
      </c>
      <c r="I110" s="5">
        <v>45581</v>
      </c>
      <c r="J110" s="4">
        <v>327.92</v>
      </c>
      <c r="K110" s="10">
        <f t="shared" si="12"/>
        <v>9181.746000000001</v>
      </c>
      <c r="L110" s="10">
        <f t="shared" si="10"/>
        <v>8853.8260000000009</v>
      </c>
      <c r="M110" s="16">
        <f t="shared" ca="1" si="11"/>
        <v>46105.637639351851</v>
      </c>
      <c r="R110" s="11"/>
    </row>
    <row r="111" spans="1:18" ht="15.75" customHeight="1" x14ac:dyDescent="0.3">
      <c r="A111" s="4" t="s">
        <v>59</v>
      </c>
      <c r="B111" s="4" t="s">
        <v>62</v>
      </c>
      <c r="C111" s="4" t="s">
        <v>15</v>
      </c>
      <c r="D111" s="4" t="s">
        <v>2</v>
      </c>
      <c r="E111" s="4">
        <v>1301.8900000000001</v>
      </c>
      <c r="F111" s="4">
        <v>7</v>
      </c>
      <c r="G111" s="4">
        <f t="shared" si="9"/>
        <v>9113.2300000000014</v>
      </c>
      <c r="H111" s="8">
        <v>0.15</v>
      </c>
      <c r="I111" s="5">
        <v>45581</v>
      </c>
      <c r="J111" s="4">
        <v>553.29999999999995</v>
      </c>
      <c r="K111" s="10">
        <f t="shared" si="12"/>
        <v>7746.2455000000009</v>
      </c>
      <c r="L111" s="10">
        <f t="shared" si="10"/>
        <v>7192.9455000000007</v>
      </c>
      <c r="M111" s="16">
        <f t="shared" ca="1" si="11"/>
        <v>46105.637639351851</v>
      </c>
      <c r="R111" s="11"/>
    </row>
    <row r="112" spans="1:18" ht="15.75" customHeight="1" x14ac:dyDescent="0.3">
      <c r="A112" s="4" t="s">
        <v>16</v>
      </c>
      <c r="B112" s="4" t="s">
        <v>56</v>
      </c>
      <c r="C112" s="4" t="s">
        <v>7</v>
      </c>
      <c r="D112" s="4" t="s">
        <v>6</v>
      </c>
      <c r="E112" s="4">
        <v>980.18</v>
      </c>
      <c r="F112" s="4">
        <v>16</v>
      </c>
      <c r="G112" s="4">
        <f t="shared" si="9"/>
        <v>15682.88</v>
      </c>
      <c r="H112" s="8">
        <v>0.1</v>
      </c>
      <c r="I112" s="5">
        <v>45582</v>
      </c>
      <c r="J112" s="4">
        <v>352.86</v>
      </c>
      <c r="K112" s="10">
        <f t="shared" si="12"/>
        <v>14114.591999999999</v>
      </c>
      <c r="L112" s="10">
        <f t="shared" si="10"/>
        <v>13761.731999999998</v>
      </c>
      <c r="M112" s="16">
        <f t="shared" ca="1" si="11"/>
        <v>46105.637639351851</v>
      </c>
      <c r="R112" s="11"/>
    </row>
    <row r="113" spans="1:18" ht="15.75" customHeight="1" x14ac:dyDescent="0.3">
      <c r="A113" s="4" t="s">
        <v>57</v>
      </c>
      <c r="B113" s="4" t="s">
        <v>49</v>
      </c>
      <c r="C113" s="4" t="s">
        <v>10</v>
      </c>
      <c r="D113" s="4" t="s">
        <v>2</v>
      </c>
      <c r="E113" s="4">
        <v>697.57</v>
      </c>
      <c r="F113" s="4">
        <v>17</v>
      </c>
      <c r="G113" s="4">
        <f t="shared" si="9"/>
        <v>11858.69</v>
      </c>
      <c r="H113" s="8">
        <v>0.1</v>
      </c>
      <c r="I113" s="5">
        <v>45584</v>
      </c>
      <c r="J113" s="4">
        <v>313.91000000000003</v>
      </c>
      <c r="K113" s="10">
        <f t="shared" si="12"/>
        <v>10672.821</v>
      </c>
      <c r="L113" s="10">
        <f t="shared" si="10"/>
        <v>10358.911</v>
      </c>
      <c r="M113" s="16">
        <f t="shared" ca="1" si="11"/>
        <v>46105.637639351851</v>
      </c>
      <c r="R113" s="11"/>
    </row>
    <row r="114" spans="1:18" ht="15.75" customHeight="1" x14ac:dyDescent="0.3">
      <c r="A114" s="4" t="s">
        <v>61</v>
      </c>
      <c r="B114" s="4" t="s">
        <v>21</v>
      </c>
      <c r="C114" s="4" t="s">
        <v>10</v>
      </c>
      <c r="D114" s="4" t="s">
        <v>18</v>
      </c>
      <c r="E114" s="4">
        <v>1193.6099999999999</v>
      </c>
      <c r="F114" s="4">
        <v>1</v>
      </c>
      <c r="G114" s="4">
        <f t="shared" si="9"/>
        <v>1193.6099999999999</v>
      </c>
      <c r="H114" s="8">
        <v>0.15</v>
      </c>
      <c r="I114" s="5">
        <v>45584</v>
      </c>
      <c r="J114" s="4">
        <v>355.1</v>
      </c>
      <c r="K114" s="10">
        <f t="shared" si="12"/>
        <v>1014.5684999999999</v>
      </c>
      <c r="L114" s="10">
        <f t="shared" si="10"/>
        <v>659.46849999999984</v>
      </c>
      <c r="M114" s="16">
        <f t="shared" ca="1" si="11"/>
        <v>46105.637639351851</v>
      </c>
      <c r="R114" s="11"/>
    </row>
    <row r="115" spans="1:18" ht="15.75" customHeight="1" x14ac:dyDescent="0.3">
      <c r="A115" s="4" t="s">
        <v>29</v>
      </c>
      <c r="B115" s="4" t="s">
        <v>36</v>
      </c>
      <c r="C115" s="4" t="s">
        <v>3</v>
      </c>
      <c r="D115" s="4" t="s">
        <v>30</v>
      </c>
      <c r="E115" s="4">
        <v>771.02</v>
      </c>
      <c r="F115" s="4">
        <v>1</v>
      </c>
      <c r="G115" s="4">
        <f t="shared" si="9"/>
        <v>771.02</v>
      </c>
      <c r="H115" s="8">
        <v>0</v>
      </c>
      <c r="I115" s="5">
        <v>45585</v>
      </c>
      <c r="J115" s="4">
        <v>192.76</v>
      </c>
      <c r="K115" s="10">
        <f t="shared" si="12"/>
        <v>771.02</v>
      </c>
      <c r="L115" s="10">
        <f t="shared" si="10"/>
        <v>578.26</v>
      </c>
      <c r="M115" s="16">
        <f t="shared" ca="1" si="11"/>
        <v>46105.637639351851</v>
      </c>
      <c r="R115" s="11"/>
    </row>
    <row r="116" spans="1:18" ht="15.75" customHeight="1" x14ac:dyDescent="0.3">
      <c r="A116" s="4" t="s">
        <v>37</v>
      </c>
      <c r="B116" s="4" t="s">
        <v>53</v>
      </c>
      <c r="C116" s="4" t="s">
        <v>23</v>
      </c>
      <c r="D116" s="4" t="s">
        <v>2</v>
      </c>
      <c r="E116" s="4">
        <v>661.09</v>
      </c>
      <c r="F116" s="4">
        <v>1</v>
      </c>
      <c r="G116" s="4">
        <f t="shared" si="9"/>
        <v>661.09</v>
      </c>
      <c r="H116" s="8">
        <v>0.2</v>
      </c>
      <c r="I116" s="5">
        <v>45593</v>
      </c>
      <c r="J116" s="4">
        <v>264.44</v>
      </c>
      <c r="K116" s="10">
        <f t="shared" si="12"/>
        <v>528.87200000000007</v>
      </c>
      <c r="L116" s="10">
        <f t="shared" si="10"/>
        <v>264.43200000000007</v>
      </c>
      <c r="M116" s="16">
        <f t="shared" ca="1" si="11"/>
        <v>46105.637639351851</v>
      </c>
      <c r="R116" s="11"/>
    </row>
    <row r="117" spans="1:18" ht="15.75" customHeight="1" x14ac:dyDescent="0.3">
      <c r="A117" s="4" t="s">
        <v>48</v>
      </c>
      <c r="B117" s="4" t="s">
        <v>34</v>
      </c>
      <c r="C117" s="4" t="s">
        <v>10</v>
      </c>
      <c r="D117" s="4" t="s">
        <v>30</v>
      </c>
      <c r="E117" s="4">
        <v>688.83</v>
      </c>
      <c r="F117" s="4">
        <v>15</v>
      </c>
      <c r="G117" s="4">
        <f t="shared" si="9"/>
        <v>10332.450000000001</v>
      </c>
      <c r="H117" s="8">
        <v>0</v>
      </c>
      <c r="I117" s="5">
        <v>45595</v>
      </c>
      <c r="J117" s="4">
        <v>172.21</v>
      </c>
      <c r="K117" s="10">
        <f t="shared" si="12"/>
        <v>10332.450000000001</v>
      </c>
      <c r="L117" s="10">
        <f t="shared" si="10"/>
        <v>10160.240000000002</v>
      </c>
      <c r="M117" s="16">
        <f t="shared" ca="1" si="11"/>
        <v>46105.637639351851</v>
      </c>
      <c r="R117" s="11"/>
    </row>
    <row r="118" spans="1:18" ht="15.75" customHeight="1" x14ac:dyDescent="0.3">
      <c r="A118" s="4" t="s">
        <v>43</v>
      </c>
      <c r="B118" s="4" t="s">
        <v>39</v>
      </c>
      <c r="C118" s="4" t="s">
        <v>15</v>
      </c>
      <c r="D118" s="4" t="s">
        <v>6</v>
      </c>
      <c r="E118" s="4">
        <v>1249.0999999999999</v>
      </c>
      <c r="F118" s="4">
        <v>4</v>
      </c>
      <c r="G118" s="4">
        <f t="shared" si="9"/>
        <v>4996.3999999999996</v>
      </c>
      <c r="H118" s="8">
        <v>0.05</v>
      </c>
      <c r="I118" s="5">
        <v>45597</v>
      </c>
      <c r="J118" s="4">
        <v>474.66</v>
      </c>
      <c r="K118" s="10">
        <f t="shared" si="12"/>
        <v>4746.579999999999</v>
      </c>
      <c r="L118" s="10">
        <f t="shared" si="10"/>
        <v>4271.9199999999992</v>
      </c>
      <c r="M118" s="16">
        <f t="shared" ca="1" si="11"/>
        <v>46105.637639351851</v>
      </c>
      <c r="R118" s="11"/>
    </row>
    <row r="119" spans="1:18" ht="15.75" customHeight="1" x14ac:dyDescent="0.3">
      <c r="A119" s="4" t="s">
        <v>20</v>
      </c>
      <c r="B119" s="4" t="s">
        <v>49</v>
      </c>
      <c r="C119" s="4" t="s">
        <v>7</v>
      </c>
      <c r="D119" s="4" t="s">
        <v>9</v>
      </c>
      <c r="E119" s="4">
        <v>1014.22</v>
      </c>
      <c r="F119" s="4">
        <v>14</v>
      </c>
      <c r="G119" s="4">
        <f t="shared" si="9"/>
        <v>14199.08</v>
      </c>
      <c r="H119" s="8">
        <v>0.05</v>
      </c>
      <c r="I119" s="5">
        <v>45599</v>
      </c>
      <c r="J119" s="4">
        <v>433.58</v>
      </c>
      <c r="K119" s="10">
        <f t="shared" si="12"/>
        <v>13489.126</v>
      </c>
      <c r="L119" s="10">
        <f t="shared" si="10"/>
        <v>13055.546</v>
      </c>
      <c r="M119" s="16">
        <f t="shared" ca="1" si="11"/>
        <v>46105.637639351851</v>
      </c>
      <c r="R119" s="11"/>
    </row>
    <row r="120" spans="1:18" ht="15.75" customHeight="1" x14ac:dyDescent="0.3">
      <c r="A120" s="4" t="s">
        <v>60</v>
      </c>
      <c r="B120" s="4" t="s">
        <v>50</v>
      </c>
      <c r="C120" s="4" t="s">
        <v>7</v>
      </c>
      <c r="D120" s="4" t="s">
        <v>6</v>
      </c>
      <c r="E120" s="4">
        <v>1010.58</v>
      </c>
      <c r="F120" s="4">
        <v>2</v>
      </c>
      <c r="G120" s="4">
        <f t="shared" si="9"/>
        <v>2021.16</v>
      </c>
      <c r="H120" s="8">
        <v>0.15</v>
      </c>
      <c r="I120" s="5">
        <v>45605</v>
      </c>
      <c r="J120" s="4">
        <v>343.6</v>
      </c>
      <c r="K120" s="10">
        <f t="shared" si="12"/>
        <v>1717.9860000000001</v>
      </c>
      <c r="L120" s="10">
        <f t="shared" si="10"/>
        <v>1374.386</v>
      </c>
      <c r="M120" s="16">
        <f t="shared" ca="1" si="11"/>
        <v>46105.637639351851</v>
      </c>
      <c r="R120" s="11"/>
    </row>
    <row r="121" spans="1:18" ht="15.75" customHeight="1" x14ac:dyDescent="0.3">
      <c r="A121" s="4" t="s">
        <v>46</v>
      </c>
      <c r="B121" s="4" t="s">
        <v>32</v>
      </c>
      <c r="C121" s="4" t="s">
        <v>23</v>
      </c>
      <c r="D121" s="4" t="s">
        <v>18</v>
      </c>
      <c r="E121" s="4">
        <v>957.29</v>
      </c>
      <c r="F121" s="4">
        <v>4</v>
      </c>
      <c r="G121" s="4">
        <f t="shared" si="9"/>
        <v>3829.16</v>
      </c>
      <c r="H121" s="8">
        <v>0.05</v>
      </c>
      <c r="I121" s="5">
        <v>45605</v>
      </c>
      <c r="J121" s="4">
        <v>318.3</v>
      </c>
      <c r="K121" s="10">
        <f t="shared" si="12"/>
        <v>3637.7019999999998</v>
      </c>
      <c r="L121" s="10">
        <f t="shared" si="10"/>
        <v>3319.4019999999996</v>
      </c>
      <c r="M121" s="16">
        <f t="shared" ca="1" si="11"/>
        <v>46105.637639351851</v>
      </c>
      <c r="R121" s="11"/>
    </row>
    <row r="122" spans="1:18" ht="15.75" customHeight="1" x14ac:dyDescent="0.3">
      <c r="A122" s="4" t="s">
        <v>55</v>
      </c>
      <c r="B122" s="4" t="s">
        <v>47</v>
      </c>
      <c r="C122" s="4" t="s">
        <v>23</v>
      </c>
      <c r="D122" s="4" t="s">
        <v>18</v>
      </c>
      <c r="E122" s="4">
        <v>1077.92</v>
      </c>
      <c r="F122" s="4">
        <v>3</v>
      </c>
      <c r="G122" s="4">
        <f t="shared" si="9"/>
        <v>3233.76</v>
      </c>
      <c r="H122" s="8">
        <v>0.05</v>
      </c>
      <c r="I122" s="5">
        <v>45608</v>
      </c>
      <c r="J122" s="4">
        <v>358.41</v>
      </c>
      <c r="K122" s="10">
        <f t="shared" si="12"/>
        <v>3072.0720000000001</v>
      </c>
      <c r="L122" s="10">
        <f t="shared" si="10"/>
        <v>2713.6620000000003</v>
      </c>
      <c r="M122" s="16">
        <f t="shared" ca="1" si="11"/>
        <v>46105.637639351851</v>
      </c>
      <c r="R122" s="11"/>
    </row>
    <row r="123" spans="1:18" ht="15.75" customHeight="1" x14ac:dyDescent="0.3">
      <c r="A123" s="4" t="s">
        <v>14</v>
      </c>
      <c r="B123" s="4" t="s">
        <v>58</v>
      </c>
      <c r="C123" s="4" t="s">
        <v>3</v>
      </c>
      <c r="D123" s="4" t="s">
        <v>2</v>
      </c>
      <c r="E123" s="4">
        <v>1163.01</v>
      </c>
      <c r="F123" s="4">
        <v>5</v>
      </c>
      <c r="G123" s="4">
        <f t="shared" si="9"/>
        <v>5815.05</v>
      </c>
      <c r="H123" s="8">
        <v>0</v>
      </c>
      <c r="I123" s="5">
        <v>45611</v>
      </c>
      <c r="J123" s="4">
        <v>581.5</v>
      </c>
      <c r="K123" s="10">
        <f t="shared" si="12"/>
        <v>5815.05</v>
      </c>
      <c r="L123" s="10">
        <f t="shared" si="10"/>
        <v>5233.55</v>
      </c>
      <c r="M123" s="16">
        <f t="shared" ca="1" si="11"/>
        <v>46105.637639351851</v>
      </c>
      <c r="R123" s="11"/>
    </row>
    <row r="124" spans="1:18" ht="15.75" customHeight="1" x14ac:dyDescent="0.3">
      <c r="A124" s="4" t="s">
        <v>60</v>
      </c>
      <c r="B124" s="4" t="s">
        <v>47</v>
      </c>
      <c r="C124" s="4" t="s">
        <v>7</v>
      </c>
      <c r="D124" s="4" t="s">
        <v>9</v>
      </c>
      <c r="E124" s="4">
        <v>1014.56</v>
      </c>
      <c r="F124" s="4">
        <v>10</v>
      </c>
      <c r="G124" s="4">
        <f t="shared" si="9"/>
        <v>10145.599999999999</v>
      </c>
      <c r="H124" s="8">
        <v>0.1</v>
      </c>
      <c r="I124" s="5">
        <v>45612</v>
      </c>
      <c r="J124" s="4">
        <v>410.9</v>
      </c>
      <c r="K124" s="10">
        <f t="shared" si="12"/>
        <v>9131.0399999999991</v>
      </c>
      <c r="L124" s="10">
        <f t="shared" si="10"/>
        <v>8720.14</v>
      </c>
      <c r="M124" s="16">
        <f t="shared" ca="1" si="11"/>
        <v>46105.637639351851</v>
      </c>
      <c r="R124" s="11"/>
    </row>
    <row r="125" spans="1:18" ht="15.75" customHeight="1" x14ac:dyDescent="0.3">
      <c r="A125" s="4" t="s">
        <v>59</v>
      </c>
      <c r="B125" s="4" t="s">
        <v>51</v>
      </c>
      <c r="C125" s="4" t="s">
        <v>3</v>
      </c>
      <c r="D125" s="4" t="s">
        <v>30</v>
      </c>
      <c r="E125" s="4">
        <v>718.04</v>
      </c>
      <c r="F125" s="4">
        <v>14</v>
      </c>
      <c r="G125" s="4">
        <f t="shared" si="9"/>
        <v>10052.56</v>
      </c>
      <c r="H125" s="8">
        <v>0</v>
      </c>
      <c r="I125" s="5">
        <v>45613</v>
      </c>
      <c r="J125" s="4">
        <v>179.51</v>
      </c>
      <c r="K125" s="10">
        <f t="shared" si="12"/>
        <v>10052.56</v>
      </c>
      <c r="L125" s="10">
        <f t="shared" si="10"/>
        <v>9873.0499999999993</v>
      </c>
      <c r="M125" s="16">
        <f t="shared" ca="1" si="11"/>
        <v>46105.637639351851</v>
      </c>
      <c r="R125" s="11"/>
    </row>
    <row r="126" spans="1:18" ht="15.75" customHeight="1" x14ac:dyDescent="0.3">
      <c r="A126" s="4" t="s">
        <v>40</v>
      </c>
      <c r="B126" s="4" t="s">
        <v>51</v>
      </c>
      <c r="C126" s="4" t="s">
        <v>15</v>
      </c>
      <c r="D126" s="4" t="s">
        <v>2</v>
      </c>
      <c r="E126" s="4">
        <v>1277.8499999999999</v>
      </c>
      <c r="F126" s="4">
        <v>18</v>
      </c>
      <c r="G126" s="4">
        <f t="shared" si="9"/>
        <v>23001.3</v>
      </c>
      <c r="H126" s="8">
        <v>0.2</v>
      </c>
      <c r="I126" s="5">
        <v>45613</v>
      </c>
      <c r="J126" s="4">
        <v>511.14</v>
      </c>
      <c r="K126" s="10">
        <f t="shared" si="12"/>
        <v>18401.04</v>
      </c>
      <c r="L126" s="10">
        <f t="shared" si="10"/>
        <v>17889.900000000001</v>
      </c>
      <c r="M126" s="16">
        <f t="shared" ca="1" si="11"/>
        <v>46105.637639351851</v>
      </c>
      <c r="R126" s="11"/>
    </row>
    <row r="127" spans="1:18" ht="15.75" customHeight="1" x14ac:dyDescent="0.3">
      <c r="A127" s="4" t="s">
        <v>16</v>
      </c>
      <c r="B127" s="4" t="s">
        <v>49</v>
      </c>
      <c r="C127" s="4" t="s">
        <v>23</v>
      </c>
      <c r="D127" s="4" t="s">
        <v>30</v>
      </c>
      <c r="E127" s="4">
        <v>706.73</v>
      </c>
      <c r="F127" s="4">
        <v>1</v>
      </c>
      <c r="G127" s="4">
        <f t="shared" si="9"/>
        <v>706.73</v>
      </c>
      <c r="H127" s="8">
        <v>0.15</v>
      </c>
      <c r="I127" s="5">
        <v>45613</v>
      </c>
      <c r="J127" s="4">
        <v>150.18</v>
      </c>
      <c r="K127" s="10">
        <f t="shared" si="12"/>
        <v>600.72050000000002</v>
      </c>
      <c r="L127" s="10">
        <f t="shared" si="10"/>
        <v>450.54050000000001</v>
      </c>
      <c r="M127" s="16">
        <f t="shared" ca="1" si="11"/>
        <v>46105.637639351851</v>
      </c>
      <c r="R127" s="11"/>
    </row>
    <row r="128" spans="1:18" ht="15.75" customHeight="1" x14ac:dyDescent="0.3">
      <c r="A128" s="4" t="s">
        <v>45</v>
      </c>
      <c r="B128" s="4" t="s">
        <v>58</v>
      </c>
      <c r="C128" s="4" t="s">
        <v>7</v>
      </c>
      <c r="D128" s="4" t="s">
        <v>30</v>
      </c>
      <c r="E128" s="4">
        <v>1410.59</v>
      </c>
      <c r="F128" s="4">
        <v>15</v>
      </c>
      <c r="G128" s="4">
        <f t="shared" si="9"/>
        <v>21158.85</v>
      </c>
      <c r="H128" s="8">
        <v>0</v>
      </c>
      <c r="I128" s="5">
        <v>45615</v>
      </c>
      <c r="J128" s="4">
        <v>352.65</v>
      </c>
      <c r="K128" s="10">
        <f t="shared" si="12"/>
        <v>21158.85</v>
      </c>
      <c r="L128" s="10">
        <f t="shared" si="10"/>
        <v>20806.199999999997</v>
      </c>
      <c r="M128" s="16">
        <f t="shared" ca="1" si="11"/>
        <v>46105.637639351851</v>
      </c>
      <c r="R128" s="11"/>
    </row>
    <row r="129" spans="1:18" ht="15.75" customHeight="1" x14ac:dyDescent="0.3">
      <c r="A129" s="4" t="s">
        <v>29</v>
      </c>
      <c r="B129" s="4" t="s">
        <v>19</v>
      </c>
      <c r="C129" s="4" t="s">
        <v>3</v>
      </c>
      <c r="D129" s="4" t="s">
        <v>18</v>
      </c>
      <c r="E129" s="4">
        <v>1350.33</v>
      </c>
      <c r="F129" s="4">
        <v>10</v>
      </c>
      <c r="G129" s="4">
        <f t="shared" si="9"/>
        <v>13503.3</v>
      </c>
      <c r="H129" s="8">
        <v>0</v>
      </c>
      <c r="I129" s="5">
        <v>45615</v>
      </c>
      <c r="J129" s="4">
        <v>472.62</v>
      </c>
      <c r="K129" s="10">
        <f t="shared" si="12"/>
        <v>13503.3</v>
      </c>
      <c r="L129" s="10">
        <f t="shared" si="10"/>
        <v>13030.679999999998</v>
      </c>
      <c r="M129" s="16">
        <f t="shared" ca="1" si="11"/>
        <v>46105.637639351851</v>
      </c>
      <c r="R129" s="11"/>
    </row>
    <row r="130" spans="1:18" ht="15.75" customHeight="1" x14ac:dyDescent="0.3">
      <c r="A130" s="4" t="s">
        <v>31</v>
      </c>
      <c r="B130" s="4" t="s">
        <v>47</v>
      </c>
      <c r="C130" s="4" t="s">
        <v>7</v>
      </c>
      <c r="D130" s="4" t="s">
        <v>30</v>
      </c>
      <c r="E130" s="4">
        <v>919.18</v>
      </c>
      <c r="F130" s="4">
        <v>4</v>
      </c>
      <c r="G130" s="4">
        <f t="shared" si="9"/>
        <v>3676.72</v>
      </c>
      <c r="H130" s="8">
        <v>0.15</v>
      </c>
      <c r="I130" s="5">
        <v>45615</v>
      </c>
      <c r="J130" s="4">
        <v>195.33</v>
      </c>
      <c r="K130" s="10">
        <f t="shared" ref="K130:K161" si="13" xml:space="preserve"> E130 *F130 * (1 -H130)</f>
        <v>3125.2119999999995</v>
      </c>
      <c r="L130" s="10">
        <f t="shared" si="10"/>
        <v>2929.8819999999996</v>
      </c>
      <c r="M130" s="16">
        <f t="shared" ca="1" si="11"/>
        <v>46105.637639351851</v>
      </c>
      <c r="R130" s="11"/>
    </row>
    <row r="131" spans="1:18" ht="15.75" customHeight="1" x14ac:dyDescent="0.3">
      <c r="A131" s="4" t="s">
        <v>57</v>
      </c>
      <c r="B131" s="4" t="s">
        <v>49</v>
      </c>
      <c r="C131" s="4" t="s">
        <v>10</v>
      </c>
      <c r="D131" s="4" t="s">
        <v>30</v>
      </c>
      <c r="E131" s="4">
        <v>258.51</v>
      </c>
      <c r="F131" s="4">
        <v>19</v>
      </c>
      <c r="G131" s="4">
        <f t="shared" ref="G131:G194" si="14">E131*F131</f>
        <v>4911.6899999999996</v>
      </c>
      <c r="H131" s="8">
        <v>0</v>
      </c>
      <c r="I131" s="5">
        <v>45616</v>
      </c>
      <c r="J131" s="4">
        <v>64.63</v>
      </c>
      <c r="K131" s="10">
        <f t="shared" si="13"/>
        <v>4911.6899999999996</v>
      </c>
      <c r="L131" s="10">
        <f t="shared" ref="L131:L194" si="15">K131-J131</f>
        <v>4847.0599999999995</v>
      </c>
      <c r="M131" s="16">
        <f t="shared" ref="M131:M194" ca="1" si="16">NOW()</f>
        <v>46105.637639351851</v>
      </c>
      <c r="R131" s="11"/>
    </row>
    <row r="132" spans="1:18" ht="15.75" customHeight="1" x14ac:dyDescent="0.3">
      <c r="A132" s="4" t="s">
        <v>52</v>
      </c>
      <c r="B132" s="4" t="s">
        <v>19</v>
      </c>
      <c r="C132" s="4" t="s">
        <v>7</v>
      </c>
      <c r="D132" s="4" t="s">
        <v>6</v>
      </c>
      <c r="E132" s="4">
        <v>1213.48</v>
      </c>
      <c r="F132" s="4">
        <v>5</v>
      </c>
      <c r="G132" s="4">
        <f t="shared" si="14"/>
        <v>6067.4</v>
      </c>
      <c r="H132" s="8">
        <v>0.05</v>
      </c>
      <c r="I132" s="5">
        <v>45616</v>
      </c>
      <c r="J132" s="4">
        <v>461.12</v>
      </c>
      <c r="K132" s="10">
        <f t="shared" si="13"/>
        <v>5764.03</v>
      </c>
      <c r="L132" s="10">
        <f t="shared" si="15"/>
        <v>5302.91</v>
      </c>
      <c r="M132" s="16">
        <f t="shared" ca="1" si="16"/>
        <v>46105.637639351851</v>
      </c>
      <c r="R132" s="11"/>
    </row>
    <row r="133" spans="1:18" ht="15.75" customHeight="1" x14ac:dyDescent="0.3">
      <c r="A133" s="4" t="s">
        <v>35</v>
      </c>
      <c r="B133" s="4" t="s">
        <v>36</v>
      </c>
      <c r="C133" s="4" t="s">
        <v>15</v>
      </c>
      <c r="D133" s="4" t="s">
        <v>6</v>
      </c>
      <c r="E133" s="4">
        <v>1150.28</v>
      </c>
      <c r="F133" s="4">
        <v>8</v>
      </c>
      <c r="G133" s="4">
        <f t="shared" si="14"/>
        <v>9202.24</v>
      </c>
      <c r="H133" s="8">
        <v>0.05</v>
      </c>
      <c r="I133" s="5">
        <v>45622</v>
      </c>
      <c r="J133" s="4">
        <v>437.11</v>
      </c>
      <c r="K133" s="10">
        <f t="shared" si="13"/>
        <v>8742.1279999999988</v>
      </c>
      <c r="L133" s="10">
        <f t="shared" si="15"/>
        <v>8305.0179999999982</v>
      </c>
      <c r="M133" s="16">
        <f t="shared" ca="1" si="16"/>
        <v>46105.637639351851</v>
      </c>
      <c r="R133" s="11"/>
    </row>
    <row r="134" spans="1:18" ht="15.75" customHeight="1" x14ac:dyDescent="0.3">
      <c r="A134" s="4" t="s">
        <v>17</v>
      </c>
      <c r="B134" s="4" t="s">
        <v>21</v>
      </c>
      <c r="C134" s="4" t="s">
        <v>3</v>
      </c>
      <c r="D134" s="4" t="s">
        <v>18</v>
      </c>
      <c r="E134" s="4">
        <v>853.86</v>
      </c>
      <c r="F134" s="4">
        <v>8</v>
      </c>
      <c r="G134" s="4">
        <f t="shared" si="14"/>
        <v>6830.88</v>
      </c>
      <c r="H134" s="8">
        <v>0.1</v>
      </c>
      <c r="I134" s="5">
        <v>45622</v>
      </c>
      <c r="J134" s="4">
        <v>268.97000000000003</v>
      </c>
      <c r="K134" s="10">
        <f t="shared" si="13"/>
        <v>6147.7920000000004</v>
      </c>
      <c r="L134" s="10">
        <f t="shared" si="15"/>
        <v>5878.8220000000001</v>
      </c>
      <c r="M134" s="16">
        <f t="shared" ca="1" si="16"/>
        <v>46105.637639351851</v>
      </c>
      <c r="R134" s="11"/>
    </row>
    <row r="135" spans="1:18" ht="15.75" customHeight="1" x14ac:dyDescent="0.3">
      <c r="A135" s="4" t="s">
        <v>22</v>
      </c>
      <c r="B135" s="4" t="s">
        <v>47</v>
      </c>
      <c r="C135" s="4" t="s">
        <v>3</v>
      </c>
      <c r="D135" s="4" t="s">
        <v>30</v>
      </c>
      <c r="E135" s="4">
        <v>1061.04</v>
      </c>
      <c r="F135" s="4">
        <v>1</v>
      </c>
      <c r="G135" s="4">
        <f t="shared" si="14"/>
        <v>1061.04</v>
      </c>
      <c r="H135" s="8">
        <v>0</v>
      </c>
      <c r="I135" s="5">
        <v>45624</v>
      </c>
      <c r="J135" s="4">
        <v>265.26</v>
      </c>
      <c r="K135" s="10">
        <f t="shared" si="13"/>
        <v>1061.04</v>
      </c>
      <c r="L135" s="10">
        <f t="shared" si="15"/>
        <v>795.78</v>
      </c>
      <c r="M135" s="16">
        <f t="shared" ca="1" si="16"/>
        <v>46105.637639351851</v>
      </c>
      <c r="R135" s="11"/>
    </row>
    <row r="136" spans="1:18" ht="15.75" customHeight="1" x14ac:dyDescent="0.3">
      <c r="A136" s="4" t="s">
        <v>55</v>
      </c>
      <c r="B136" s="4" t="s">
        <v>11</v>
      </c>
      <c r="C136" s="4" t="s">
        <v>10</v>
      </c>
      <c r="D136" s="4" t="s">
        <v>30</v>
      </c>
      <c r="E136" s="4">
        <v>894.55</v>
      </c>
      <c r="F136" s="4">
        <v>19</v>
      </c>
      <c r="G136" s="4">
        <f t="shared" si="14"/>
        <v>16996.45</v>
      </c>
      <c r="H136" s="8">
        <v>0.2</v>
      </c>
      <c r="I136" s="5">
        <v>45625</v>
      </c>
      <c r="J136" s="4">
        <v>178.91</v>
      </c>
      <c r="K136" s="10">
        <f t="shared" si="13"/>
        <v>13597.160000000002</v>
      </c>
      <c r="L136" s="10">
        <f t="shared" si="15"/>
        <v>13418.250000000002</v>
      </c>
      <c r="M136" s="16">
        <f t="shared" ca="1" si="16"/>
        <v>46105.637639351851</v>
      </c>
      <c r="R136" s="11"/>
    </row>
    <row r="137" spans="1:18" ht="15.75" customHeight="1" x14ac:dyDescent="0.3">
      <c r="A137" s="4" t="s">
        <v>27</v>
      </c>
      <c r="B137" s="4" t="s">
        <v>36</v>
      </c>
      <c r="C137" s="4" t="s">
        <v>23</v>
      </c>
      <c r="D137" s="4" t="s">
        <v>9</v>
      </c>
      <c r="E137" s="4">
        <v>833.91</v>
      </c>
      <c r="F137" s="4">
        <v>3</v>
      </c>
      <c r="G137" s="4">
        <f t="shared" si="14"/>
        <v>2501.73</v>
      </c>
      <c r="H137" s="8">
        <v>0.05</v>
      </c>
      <c r="I137" s="5">
        <v>45626</v>
      </c>
      <c r="J137" s="4">
        <v>356.5</v>
      </c>
      <c r="K137" s="10">
        <f t="shared" si="13"/>
        <v>2376.6435000000001</v>
      </c>
      <c r="L137" s="10">
        <f t="shared" si="15"/>
        <v>2020.1435000000001</v>
      </c>
      <c r="M137" s="16">
        <f t="shared" ca="1" si="16"/>
        <v>46105.637639351851</v>
      </c>
      <c r="R137" s="11"/>
    </row>
    <row r="138" spans="1:18" ht="15.75" customHeight="1" x14ac:dyDescent="0.3">
      <c r="A138" s="4" t="s">
        <v>12</v>
      </c>
      <c r="B138" s="4" t="s">
        <v>21</v>
      </c>
      <c r="C138" s="4" t="s">
        <v>10</v>
      </c>
      <c r="D138" s="4" t="s">
        <v>18</v>
      </c>
      <c r="E138" s="4">
        <v>820.19</v>
      </c>
      <c r="F138" s="4">
        <v>4</v>
      </c>
      <c r="G138" s="4">
        <f t="shared" si="14"/>
        <v>3280.76</v>
      </c>
      <c r="H138" s="8">
        <v>0.2</v>
      </c>
      <c r="I138" s="5">
        <v>45630</v>
      </c>
      <c r="J138" s="4">
        <v>229.65</v>
      </c>
      <c r="K138" s="10">
        <f t="shared" si="13"/>
        <v>2624.6080000000002</v>
      </c>
      <c r="L138" s="10">
        <f t="shared" si="15"/>
        <v>2394.9580000000001</v>
      </c>
      <c r="M138" s="16">
        <f t="shared" ca="1" si="16"/>
        <v>46105.637639351851</v>
      </c>
      <c r="R138" s="11"/>
    </row>
    <row r="139" spans="1:18" ht="15.75" customHeight="1" x14ac:dyDescent="0.3">
      <c r="A139" s="4" t="s">
        <v>12</v>
      </c>
      <c r="B139" s="4" t="s">
        <v>36</v>
      </c>
      <c r="C139" s="4" t="s">
        <v>15</v>
      </c>
      <c r="D139" s="4" t="s">
        <v>30</v>
      </c>
      <c r="E139" s="4">
        <v>511.74</v>
      </c>
      <c r="F139" s="4">
        <v>8</v>
      </c>
      <c r="G139" s="4">
        <f t="shared" si="14"/>
        <v>4093.92</v>
      </c>
      <c r="H139" s="8">
        <v>0.05</v>
      </c>
      <c r="I139" s="5">
        <v>45631</v>
      </c>
      <c r="J139" s="4">
        <v>121.54</v>
      </c>
      <c r="K139" s="10">
        <f t="shared" si="13"/>
        <v>3889.2239999999997</v>
      </c>
      <c r="L139" s="10">
        <f t="shared" si="15"/>
        <v>3767.6839999999997</v>
      </c>
      <c r="M139" s="16">
        <f t="shared" ca="1" si="16"/>
        <v>46105.637639351851</v>
      </c>
      <c r="R139" s="11"/>
    </row>
    <row r="140" spans="1:18" ht="15.75" customHeight="1" x14ac:dyDescent="0.3">
      <c r="A140" s="4" t="s">
        <v>45</v>
      </c>
      <c r="B140" s="4" t="s">
        <v>19</v>
      </c>
      <c r="C140" s="4" t="s">
        <v>3</v>
      </c>
      <c r="D140" s="4" t="s">
        <v>18</v>
      </c>
      <c r="E140" s="4">
        <v>806.03</v>
      </c>
      <c r="F140" s="4">
        <v>19</v>
      </c>
      <c r="G140" s="4">
        <f t="shared" si="14"/>
        <v>15314.57</v>
      </c>
      <c r="H140" s="8">
        <v>0.05</v>
      </c>
      <c r="I140" s="5">
        <v>45638</v>
      </c>
      <c r="J140" s="4">
        <v>268</v>
      </c>
      <c r="K140" s="10">
        <f t="shared" si="13"/>
        <v>14548.841499999999</v>
      </c>
      <c r="L140" s="10">
        <f t="shared" si="15"/>
        <v>14280.841499999999</v>
      </c>
      <c r="M140" s="16">
        <f t="shared" ca="1" si="16"/>
        <v>46105.637639351851</v>
      </c>
      <c r="R140" s="11"/>
    </row>
    <row r="141" spans="1:18" ht="15.75" customHeight="1" x14ac:dyDescent="0.3">
      <c r="A141" s="4" t="s">
        <v>55</v>
      </c>
      <c r="B141" s="4" t="s">
        <v>28</v>
      </c>
      <c r="C141" s="4" t="s">
        <v>15</v>
      </c>
      <c r="D141" s="4" t="s">
        <v>18</v>
      </c>
      <c r="E141" s="4">
        <v>1432.47</v>
      </c>
      <c r="F141" s="4">
        <v>16</v>
      </c>
      <c r="G141" s="4">
        <f t="shared" si="14"/>
        <v>22919.52</v>
      </c>
      <c r="H141" s="8">
        <v>0.15</v>
      </c>
      <c r="I141" s="5">
        <v>45640</v>
      </c>
      <c r="J141" s="4">
        <v>426.16</v>
      </c>
      <c r="K141" s="10">
        <f t="shared" si="13"/>
        <v>19481.592000000001</v>
      </c>
      <c r="L141" s="10">
        <f t="shared" si="15"/>
        <v>19055.432000000001</v>
      </c>
      <c r="M141" s="16">
        <f t="shared" ca="1" si="16"/>
        <v>46105.637639351851</v>
      </c>
      <c r="R141" s="11"/>
    </row>
    <row r="142" spans="1:18" ht="15.75" customHeight="1" x14ac:dyDescent="0.3">
      <c r="A142" s="4" t="s">
        <v>57</v>
      </c>
      <c r="B142" s="4" t="s">
        <v>39</v>
      </c>
      <c r="C142" s="4" t="s">
        <v>15</v>
      </c>
      <c r="D142" s="4" t="s">
        <v>30</v>
      </c>
      <c r="E142" s="4">
        <v>1488.58</v>
      </c>
      <c r="F142" s="4">
        <v>10</v>
      </c>
      <c r="G142" s="4">
        <f t="shared" si="14"/>
        <v>14885.8</v>
      </c>
      <c r="H142" s="8">
        <v>0.15</v>
      </c>
      <c r="I142" s="5">
        <v>45640</v>
      </c>
      <c r="J142" s="4">
        <v>316.32</v>
      </c>
      <c r="K142" s="10">
        <f t="shared" si="13"/>
        <v>12652.929999999998</v>
      </c>
      <c r="L142" s="10">
        <f t="shared" si="15"/>
        <v>12336.609999999999</v>
      </c>
      <c r="M142" s="16">
        <f t="shared" ca="1" si="16"/>
        <v>46105.637639351851</v>
      </c>
      <c r="R142" s="11"/>
    </row>
    <row r="143" spans="1:18" ht="15.75" customHeight="1" x14ac:dyDescent="0.3">
      <c r="A143" s="4" t="s">
        <v>46</v>
      </c>
      <c r="B143" s="4" t="s">
        <v>56</v>
      </c>
      <c r="C143" s="4" t="s">
        <v>7</v>
      </c>
      <c r="D143" s="4" t="s">
        <v>6</v>
      </c>
      <c r="E143" s="4">
        <v>1231.26</v>
      </c>
      <c r="F143" s="4">
        <v>9</v>
      </c>
      <c r="G143" s="4">
        <f t="shared" si="14"/>
        <v>11081.34</v>
      </c>
      <c r="H143" s="8">
        <v>0</v>
      </c>
      <c r="I143" s="5">
        <v>45646</v>
      </c>
      <c r="J143" s="4">
        <v>492.5</v>
      </c>
      <c r="K143" s="10">
        <f t="shared" si="13"/>
        <v>11081.34</v>
      </c>
      <c r="L143" s="10">
        <f t="shared" si="15"/>
        <v>10588.84</v>
      </c>
      <c r="M143" s="16">
        <f t="shared" ca="1" si="16"/>
        <v>46105.637639351851</v>
      </c>
      <c r="R143" s="11"/>
    </row>
    <row r="144" spans="1:18" ht="15.75" customHeight="1" x14ac:dyDescent="0.3">
      <c r="A144" s="4" t="s">
        <v>46</v>
      </c>
      <c r="B144" s="4" t="s">
        <v>11</v>
      </c>
      <c r="C144" s="4" t="s">
        <v>10</v>
      </c>
      <c r="D144" s="4" t="s">
        <v>30</v>
      </c>
      <c r="E144" s="4">
        <v>1161.67</v>
      </c>
      <c r="F144" s="4">
        <v>19</v>
      </c>
      <c r="G144" s="4">
        <f t="shared" si="14"/>
        <v>22071.730000000003</v>
      </c>
      <c r="H144" s="8">
        <v>0.2</v>
      </c>
      <c r="I144" s="5">
        <v>45647</v>
      </c>
      <c r="J144" s="4">
        <v>232.33</v>
      </c>
      <c r="K144" s="10">
        <f t="shared" si="13"/>
        <v>17657.384000000002</v>
      </c>
      <c r="L144" s="10">
        <f t="shared" si="15"/>
        <v>17425.054</v>
      </c>
      <c r="M144" s="16">
        <f t="shared" ca="1" si="16"/>
        <v>46105.637639351851</v>
      </c>
      <c r="R144" s="11"/>
    </row>
    <row r="145" spans="1:18" ht="15.75" customHeight="1" x14ac:dyDescent="0.3">
      <c r="A145" s="4" t="s">
        <v>54</v>
      </c>
      <c r="B145" s="4" t="s">
        <v>47</v>
      </c>
      <c r="C145" s="4" t="s">
        <v>15</v>
      </c>
      <c r="D145" s="4" t="s">
        <v>9</v>
      </c>
      <c r="E145" s="4">
        <v>388.23</v>
      </c>
      <c r="F145" s="4">
        <v>16</v>
      </c>
      <c r="G145" s="4">
        <f t="shared" si="14"/>
        <v>6211.68</v>
      </c>
      <c r="H145" s="8">
        <v>0.05</v>
      </c>
      <c r="I145" s="5">
        <v>45650</v>
      </c>
      <c r="J145" s="4">
        <v>165.97</v>
      </c>
      <c r="K145" s="10">
        <f t="shared" si="13"/>
        <v>5901.0959999999995</v>
      </c>
      <c r="L145" s="10">
        <f t="shared" si="15"/>
        <v>5735.1259999999993</v>
      </c>
      <c r="M145" s="16">
        <f t="shared" ca="1" si="16"/>
        <v>46105.637639351851</v>
      </c>
      <c r="R145" s="11"/>
    </row>
    <row r="146" spans="1:18" ht="15.75" customHeight="1" x14ac:dyDescent="0.3">
      <c r="A146" s="4" t="s">
        <v>40</v>
      </c>
      <c r="B146" s="4" t="s">
        <v>41</v>
      </c>
      <c r="C146" s="4" t="s">
        <v>23</v>
      </c>
      <c r="D146" s="4" t="s">
        <v>2</v>
      </c>
      <c r="E146" s="4">
        <v>1589.42</v>
      </c>
      <c r="F146" s="4">
        <v>6</v>
      </c>
      <c r="G146" s="4">
        <f t="shared" si="14"/>
        <v>9536.52</v>
      </c>
      <c r="H146" s="8">
        <v>0.15</v>
      </c>
      <c r="I146" s="5">
        <v>45651</v>
      </c>
      <c r="J146" s="4">
        <v>675.5</v>
      </c>
      <c r="K146" s="10">
        <f t="shared" si="13"/>
        <v>8106.0420000000004</v>
      </c>
      <c r="L146" s="10">
        <f t="shared" si="15"/>
        <v>7430.5420000000004</v>
      </c>
      <c r="M146" s="16">
        <f t="shared" ca="1" si="16"/>
        <v>46105.637639351851</v>
      </c>
      <c r="R146" s="11"/>
    </row>
    <row r="147" spans="1:18" ht="15.75" customHeight="1" x14ac:dyDescent="0.3">
      <c r="A147" s="4" t="s">
        <v>55</v>
      </c>
      <c r="B147" s="4" t="s">
        <v>21</v>
      </c>
      <c r="C147" s="4" t="s">
        <v>23</v>
      </c>
      <c r="D147" s="4" t="s">
        <v>2</v>
      </c>
      <c r="E147" s="4">
        <v>336.66</v>
      </c>
      <c r="F147" s="4">
        <v>13</v>
      </c>
      <c r="G147" s="4">
        <f t="shared" si="14"/>
        <v>4376.58</v>
      </c>
      <c r="H147" s="8">
        <v>0.2</v>
      </c>
      <c r="I147" s="5">
        <v>45651</v>
      </c>
      <c r="J147" s="4">
        <v>134.66</v>
      </c>
      <c r="K147" s="10">
        <f t="shared" si="13"/>
        <v>3501.2640000000001</v>
      </c>
      <c r="L147" s="10">
        <f t="shared" si="15"/>
        <v>3366.6040000000003</v>
      </c>
      <c r="M147" s="16">
        <f t="shared" ca="1" si="16"/>
        <v>46105.637639351851</v>
      </c>
      <c r="R147" s="11"/>
    </row>
    <row r="148" spans="1:18" ht="15.75" customHeight="1" x14ac:dyDescent="0.3">
      <c r="A148" s="4" t="s">
        <v>54</v>
      </c>
      <c r="B148" s="4" t="s">
        <v>49</v>
      </c>
      <c r="C148" s="4" t="s">
        <v>10</v>
      </c>
      <c r="D148" s="4" t="s">
        <v>6</v>
      </c>
      <c r="E148" s="4">
        <v>1353.79</v>
      </c>
      <c r="F148" s="4">
        <v>14</v>
      </c>
      <c r="G148" s="4">
        <f t="shared" si="14"/>
        <v>18953.059999999998</v>
      </c>
      <c r="H148" s="8">
        <v>0.1</v>
      </c>
      <c r="I148" s="5">
        <v>45656</v>
      </c>
      <c r="J148" s="4">
        <v>487.36</v>
      </c>
      <c r="K148" s="10">
        <f t="shared" si="13"/>
        <v>17057.753999999997</v>
      </c>
      <c r="L148" s="10">
        <f t="shared" si="15"/>
        <v>16570.393999999997</v>
      </c>
      <c r="M148" s="16">
        <f t="shared" ca="1" si="16"/>
        <v>46105.637639351851</v>
      </c>
      <c r="R148" s="11"/>
    </row>
    <row r="149" spans="1:18" ht="15.75" customHeight="1" x14ac:dyDescent="0.3">
      <c r="A149" s="4" t="s">
        <v>52</v>
      </c>
      <c r="B149" s="4" t="s">
        <v>53</v>
      </c>
      <c r="C149" s="4" t="s">
        <v>15</v>
      </c>
      <c r="D149" s="4" t="s">
        <v>2</v>
      </c>
      <c r="E149" s="4">
        <v>662.61</v>
      </c>
      <c r="F149" s="4">
        <v>11</v>
      </c>
      <c r="G149" s="4">
        <f t="shared" si="14"/>
        <v>7288.71</v>
      </c>
      <c r="H149" s="8">
        <v>0.05</v>
      </c>
      <c r="I149" s="5">
        <v>45658</v>
      </c>
      <c r="J149" s="4">
        <v>314.74</v>
      </c>
      <c r="K149" s="10">
        <f t="shared" si="13"/>
        <v>6924.2744999999995</v>
      </c>
      <c r="L149" s="10">
        <f t="shared" si="15"/>
        <v>6609.5344999999998</v>
      </c>
      <c r="M149" s="16">
        <f t="shared" ca="1" si="16"/>
        <v>46105.637639351851</v>
      </c>
      <c r="R149" s="11"/>
    </row>
    <row r="150" spans="1:18" ht="15.75" customHeight="1" x14ac:dyDescent="0.3">
      <c r="A150" s="4" t="s">
        <v>14</v>
      </c>
      <c r="B150" s="4" t="s">
        <v>50</v>
      </c>
      <c r="C150" s="4" t="s">
        <v>23</v>
      </c>
      <c r="D150" s="4" t="s">
        <v>9</v>
      </c>
      <c r="E150" s="4">
        <v>309.42</v>
      </c>
      <c r="F150" s="4">
        <v>1</v>
      </c>
      <c r="G150" s="4">
        <f t="shared" si="14"/>
        <v>309.42</v>
      </c>
      <c r="H150" s="8">
        <v>0.2</v>
      </c>
      <c r="I150" s="5">
        <v>45658</v>
      </c>
      <c r="J150" s="4">
        <v>111.39</v>
      </c>
      <c r="K150" s="10">
        <f t="shared" si="13"/>
        <v>247.53600000000003</v>
      </c>
      <c r="L150" s="10">
        <f t="shared" si="15"/>
        <v>136.14600000000002</v>
      </c>
      <c r="M150" s="16">
        <f t="shared" ca="1" si="16"/>
        <v>46105.637639351851</v>
      </c>
      <c r="R150" s="11"/>
    </row>
    <row r="151" spans="1:18" ht="15.75" customHeight="1" x14ac:dyDescent="0.3">
      <c r="A151" s="4" t="s">
        <v>52</v>
      </c>
      <c r="B151" s="4" t="s">
        <v>39</v>
      </c>
      <c r="C151" s="4" t="s">
        <v>23</v>
      </c>
      <c r="D151" s="4" t="s">
        <v>6</v>
      </c>
      <c r="E151" s="4">
        <v>884.63</v>
      </c>
      <c r="F151" s="4">
        <v>18</v>
      </c>
      <c r="G151" s="4">
        <f t="shared" si="14"/>
        <v>15923.34</v>
      </c>
      <c r="H151" s="8">
        <v>0.1</v>
      </c>
      <c r="I151" s="5">
        <v>45659</v>
      </c>
      <c r="J151" s="4">
        <v>318.47000000000003</v>
      </c>
      <c r="K151" s="10">
        <f t="shared" si="13"/>
        <v>14331.006000000001</v>
      </c>
      <c r="L151" s="10">
        <f t="shared" si="15"/>
        <v>14012.536000000002</v>
      </c>
      <c r="M151" s="16">
        <f t="shared" ca="1" si="16"/>
        <v>46105.637639351851</v>
      </c>
      <c r="R151" s="11"/>
    </row>
    <row r="152" spans="1:18" ht="15.75" customHeight="1" x14ac:dyDescent="0.3">
      <c r="A152" s="4" t="s">
        <v>14</v>
      </c>
      <c r="B152" s="4" t="s">
        <v>49</v>
      </c>
      <c r="C152" s="4" t="s">
        <v>15</v>
      </c>
      <c r="D152" s="4" t="s">
        <v>9</v>
      </c>
      <c r="E152" s="4">
        <v>745.05</v>
      </c>
      <c r="F152" s="4">
        <v>10</v>
      </c>
      <c r="G152" s="4">
        <f t="shared" si="14"/>
        <v>7450.5</v>
      </c>
      <c r="H152" s="8">
        <v>0.1</v>
      </c>
      <c r="I152" s="5">
        <v>45660</v>
      </c>
      <c r="J152" s="4">
        <v>301.75</v>
      </c>
      <c r="K152" s="10">
        <f t="shared" si="13"/>
        <v>6705.45</v>
      </c>
      <c r="L152" s="10">
        <f t="shared" si="15"/>
        <v>6403.7</v>
      </c>
      <c r="M152" s="16">
        <f t="shared" ca="1" si="16"/>
        <v>46105.637639351851</v>
      </c>
      <c r="R152" s="11"/>
    </row>
    <row r="153" spans="1:18" ht="15.75" customHeight="1" x14ac:dyDescent="0.3">
      <c r="A153" s="4" t="s">
        <v>5</v>
      </c>
      <c r="B153" s="4" t="s">
        <v>51</v>
      </c>
      <c r="C153" s="4" t="s">
        <v>3</v>
      </c>
      <c r="D153" s="4" t="s">
        <v>2</v>
      </c>
      <c r="E153" s="4">
        <v>870.23</v>
      </c>
      <c r="F153" s="4">
        <v>5</v>
      </c>
      <c r="G153" s="4">
        <f t="shared" si="14"/>
        <v>4351.1499999999996</v>
      </c>
      <c r="H153" s="8">
        <v>0.05</v>
      </c>
      <c r="I153" s="5">
        <v>45660</v>
      </c>
      <c r="J153" s="4">
        <v>413.36</v>
      </c>
      <c r="K153" s="10">
        <f t="shared" si="13"/>
        <v>4133.5924999999997</v>
      </c>
      <c r="L153" s="10">
        <f t="shared" si="15"/>
        <v>3720.2324999999996</v>
      </c>
      <c r="M153" s="16">
        <f t="shared" ca="1" si="16"/>
        <v>46105.637639351851</v>
      </c>
      <c r="R153" s="11"/>
    </row>
    <row r="154" spans="1:18" ht="15.75" customHeight="1" x14ac:dyDescent="0.3">
      <c r="A154" s="4" t="s">
        <v>8</v>
      </c>
      <c r="B154" s="4" t="s">
        <v>39</v>
      </c>
      <c r="C154" s="4" t="s">
        <v>10</v>
      </c>
      <c r="D154" s="4" t="s">
        <v>18</v>
      </c>
      <c r="E154" s="4">
        <v>862.19</v>
      </c>
      <c r="F154" s="4">
        <v>18</v>
      </c>
      <c r="G154" s="4">
        <f t="shared" si="14"/>
        <v>15519.420000000002</v>
      </c>
      <c r="H154" s="8">
        <v>0.05</v>
      </c>
      <c r="I154" s="5">
        <v>45663</v>
      </c>
      <c r="J154" s="4">
        <v>286.68</v>
      </c>
      <c r="K154" s="10">
        <f t="shared" si="13"/>
        <v>14743.449000000001</v>
      </c>
      <c r="L154" s="10">
        <f t="shared" si="15"/>
        <v>14456.769</v>
      </c>
      <c r="M154" s="16">
        <f t="shared" ca="1" si="16"/>
        <v>46105.637639351851</v>
      </c>
      <c r="R154" s="11"/>
    </row>
    <row r="155" spans="1:18" ht="15.75" customHeight="1" x14ac:dyDescent="0.3">
      <c r="A155" s="4" t="s">
        <v>43</v>
      </c>
      <c r="B155" s="4" t="s">
        <v>32</v>
      </c>
      <c r="C155" s="4" t="s">
        <v>23</v>
      </c>
      <c r="D155" s="4" t="s">
        <v>2</v>
      </c>
      <c r="E155" s="4">
        <v>1171.18</v>
      </c>
      <c r="F155" s="4">
        <v>19</v>
      </c>
      <c r="G155" s="4">
        <f t="shared" si="14"/>
        <v>22252.420000000002</v>
      </c>
      <c r="H155" s="8">
        <v>0.05</v>
      </c>
      <c r="I155" s="5">
        <v>45667</v>
      </c>
      <c r="J155" s="4">
        <v>556.30999999999995</v>
      </c>
      <c r="K155" s="10">
        <f t="shared" si="13"/>
        <v>21139.798999999999</v>
      </c>
      <c r="L155" s="10">
        <f t="shared" si="15"/>
        <v>20583.488999999998</v>
      </c>
      <c r="M155" s="16">
        <f t="shared" ca="1" si="16"/>
        <v>46105.637639351851</v>
      </c>
      <c r="R155" s="11"/>
    </row>
    <row r="156" spans="1:18" ht="15.75" customHeight="1" x14ac:dyDescent="0.3">
      <c r="A156" s="4" t="s">
        <v>12</v>
      </c>
      <c r="B156" s="4" t="s">
        <v>13</v>
      </c>
      <c r="C156" s="4" t="s">
        <v>3</v>
      </c>
      <c r="D156" s="4" t="s">
        <v>18</v>
      </c>
      <c r="E156" s="4">
        <v>1054.56</v>
      </c>
      <c r="F156" s="4">
        <v>11</v>
      </c>
      <c r="G156" s="4">
        <f t="shared" si="14"/>
        <v>11600.16</v>
      </c>
      <c r="H156" s="8">
        <v>0.1</v>
      </c>
      <c r="I156" s="5">
        <v>45669</v>
      </c>
      <c r="J156" s="4">
        <v>332.19</v>
      </c>
      <c r="K156" s="10">
        <f t="shared" si="13"/>
        <v>10440.144</v>
      </c>
      <c r="L156" s="10">
        <f t="shared" si="15"/>
        <v>10107.954</v>
      </c>
      <c r="M156" s="16">
        <f t="shared" ca="1" si="16"/>
        <v>46105.637639351851</v>
      </c>
      <c r="R156" s="11"/>
    </row>
    <row r="157" spans="1:18" ht="15.75" customHeight="1" x14ac:dyDescent="0.3">
      <c r="A157" s="4" t="s">
        <v>12</v>
      </c>
      <c r="B157" s="4" t="s">
        <v>49</v>
      </c>
      <c r="C157" s="4" t="s">
        <v>23</v>
      </c>
      <c r="D157" s="4" t="s">
        <v>30</v>
      </c>
      <c r="E157" s="4">
        <v>1681.21</v>
      </c>
      <c r="F157" s="4">
        <v>5</v>
      </c>
      <c r="G157" s="4">
        <f t="shared" si="14"/>
        <v>8406.0499999999993</v>
      </c>
      <c r="H157" s="8">
        <v>0.2</v>
      </c>
      <c r="I157" s="5">
        <v>45670</v>
      </c>
      <c r="J157" s="4">
        <v>336.24</v>
      </c>
      <c r="K157" s="10">
        <f t="shared" si="13"/>
        <v>6724.84</v>
      </c>
      <c r="L157" s="10">
        <f t="shared" si="15"/>
        <v>6388.6</v>
      </c>
      <c r="M157" s="16">
        <f t="shared" ca="1" si="16"/>
        <v>46105.637639351851</v>
      </c>
      <c r="R157" s="11"/>
    </row>
    <row r="158" spans="1:18" ht="15.75" customHeight="1" x14ac:dyDescent="0.3">
      <c r="A158" s="4" t="s">
        <v>12</v>
      </c>
      <c r="B158" s="4" t="s">
        <v>4</v>
      </c>
      <c r="C158" s="4" t="s">
        <v>10</v>
      </c>
      <c r="D158" s="4" t="s">
        <v>2</v>
      </c>
      <c r="E158" s="4">
        <v>379.77</v>
      </c>
      <c r="F158" s="4">
        <v>9</v>
      </c>
      <c r="G158" s="4">
        <f t="shared" si="14"/>
        <v>3417.93</v>
      </c>
      <c r="H158" s="8">
        <v>0.05</v>
      </c>
      <c r="I158" s="5">
        <v>45673</v>
      </c>
      <c r="J158" s="4">
        <v>180.39</v>
      </c>
      <c r="K158" s="10">
        <f t="shared" si="13"/>
        <v>3247.0334999999995</v>
      </c>
      <c r="L158" s="10">
        <f t="shared" si="15"/>
        <v>3066.6434999999997</v>
      </c>
      <c r="M158" s="16">
        <f t="shared" ca="1" si="16"/>
        <v>46105.637639351851</v>
      </c>
      <c r="R158" s="11"/>
    </row>
    <row r="159" spans="1:18" ht="15.75" customHeight="1" x14ac:dyDescent="0.3">
      <c r="A159" s="4" t="s">
        <v>20</v>
      </c>
      <c r="B159" s="4" t="s">
        <v>47</v>
      </c>
      <c r="C159" s="4" t="s">
        <v>15</v>
      </c>
      <c r="D159" s="4" t="s">
        <v>2</v>
      </c>
      <c r="E159" s="4">
        <v>1076.33</v>
      </c>
      <c r="F159" s="4">
        <v>2</v>
      </c>
      <c r="G159" s="4">
        <f t="shared" si="14"/>
        <v>2152.66</v>
      </c>
      <c r="H159" s="8">
        <v>0.1</v>
      </c>
      <c r="I159" s="5">
        <v>45674</v>
      </c>
      <c r="J159" s="4">
        <v>484.35</v>
      </c>
      <c r="K159" s="10">
        <f t="shared" si="13"/>
        <v>1937.394</v>
      </c>
      <c r="L159" s="10">
        <f t="shared" si="15"/>
        <v>1453.0439999999999</v>
      </c>
      <c r="M159" s="16">
        <f t="shared" ca="1" si="16"/>
        <v>46105.637639351851</v>
      </c>
      <c r="R159" s="11"/>
    </row>
    <row r="160" spans="1:18" ht="15.75" customHeight="1" x14ac:dyDescent="0.3">
      <c r="A160" s="4" t="s">
        <v>20</v>
      </c>
      <c r="B160" s="4" t="s">
        <v>41</v>
      </c>
      <c r="C160" s="4" t="s">
        <v>15</v>
      </c>
      <c r="D160" s="4" t="s">
        <v>9</v>
      </c>
      <c r="E160" s="4">
        <v>1250.71</v>
      </c>
      <c r="F160" s="4">
        <v>7</v>
      </c>
      <c r="G160" s="4">
        <f t="shared" si="14"/>
        <v>8754.9700000000012</v>
      </c>
      <c r="H160" s="8">
        <v>0</v>
      </c>
      <c r="I160" s="5">
        <v>45674</v>
      </c>
      <c r="J160" s="4">
        <v>562.82000000000005</v>
      </c>
      <c r="K160" s="10">
        <f t="shared" si="13"/>
        <v>8754.9700000000012</v>
      </c>
      <c r="L160" s="10">
        <f t="shared" si="15"/>
        <v>8192.1500000000015</v>
      </c>
      <c r="M160" s="16">
        <f t="shared" ca="1" si="16"/>
        <v>46105.637639351851</v>
      </c>
      <c r="R160" s="11"/>
    </row>
    <row r="161" spans="1:18" ht="15.75" customHeight="1" x14ac:dyDescent="0.3">
      <c r="A161" s="4" t="s">
        <v>33</v>
      </c>
      <c r="B161" s="4" t="s">
        <v>51</v>
      </c>
      <c r="C161" s="4" t="s">
        <v>3</v>
      </c>
      <c r="D161" s="4" t="s">
        <v>2</v>
      </c>
      <c r="E161" s="4">
        <v>1118.3399999999999</v>
      </c>
      <c r="F161" s="4">
        <v>6</v>
      </c>
      <c r="G161" s="4">
        <f t="shared" si="14"/>
        <v>6710.0399999999991</v>
      </c>
      <c r="H161" s="8">
        <v>0.2</v>
      </c>
      <c r="I161" s="5">
        <v>45674</v>
      </c>
      <c r="J161" s="4">
        <v>447.34</v>
      </c>
      <c r="K161" s="10">
        <f t="shared" si="13"/>
        <v>5368.0319999999992</v>
      </c>
      <c r="L161" s="10">
        <f t="shared" si="15"/>
        <v>4920.6919999999991</v>
      </c>
      <c r="M161" s="16">
        <f t="shared" ca="1" si="16"/>
        <v>46105.637639351851</v>
      </c>
      <c r="R161" s="11"/>
    </row>
    <row r="162" spans="1:18" ht="15.75" customHeight="1" x14ac:dyDescent="0.3">
      <c r="A162" s="4" t="s">
        <v>16</v>
      </c>
      <c r="B162" s="4" t="s">
        <v>24</v>
      </c>
      <c r="C162" s="4" t="s">
        <v>23</v>
      </c>
      <c r="D162" s="4" t="s">
        <v>2</v>
      </c>
      <c r="E162" s="4">
        <v>1622.62</v>
      </c>
      <c r="F162" s="4">
        <v>12</v>
      </c>
      <c r="G162" s="4">
        <f t="shared" si="14"/>
        <v>19471.439999999999</v>
      </c>
      <c r="H162" s="8">
        <v>0.2</v>
      </c>
      <c r="I162" s="5">
        <v>45677</v>
      </c>
      <c r="J162" s="4">
        <v>649.04999999999995</v>
      </c>
      <c r="K162" s="10">
        <f t="shared" ref="K162:K193" si="17" xml:space="preserve"> E162 *F162 * (1 -H162)</f>
        <v>15577.152</v>
      </c>
      <c r="L162" s="10">
        <f t="shared" si="15"/>
        <v>14928.102000000001</v>
      </c>
      <c r="M162" s="16">
        <f t="shared" ca="1" si="16"/>
        <v>46105.637639351851</v>
      </c>
      <c r="R162" s="11"/>
    </row>
    <row r="163" spans="1:18" ht="15.75" customHeight="1" x14ac:dyDescent="0.3">
      <c r="A163" s="4" t="s">
        <v>22</v>
      </c>
      <c r="B163" s="4" t="s">
        <v>50</v>
      </c>
      <c r="C163" s="4" t="s">
        <v>23</v>
      </c>
      <c r="D163" s="4" t="s">
        <v>6</v>
      </c>
      <c r="E163" s="4">
        <v>640.64</v>
      </c>
      <c r="F163" s="4">
        <v>11</v>
      </c>
      <c r="G163" s="4">
        <f t="shared" si="14"/>
        <v>7047.04</v>
      </c>
      <c r="H163" s="8">
        <v>0.2</v>
      </c>
      <c r="I163" s="5">
        <v>45678</v>
      </c>
      <c r="J163" s="4">
        <v>205</v>
      </c>
      <c r="K163" s="10">
        <f t="shared" si="17"/>
        <v>5637.6320000000005</v>
      </c>
      <c r="L163" s="10">
        <f t="shared" si="15"/>
        <v>5432.6320000000005</v>
      </c>
      <c r="M163" s="16">
        <f t="shared" ca="1" si="16"/>
        <v>46105.637639351851</v>
      </c>
      <c r="R163" s="11"/>
    </row>
    <row r="164" spans="1:18" ht="15.75" customHeight="1" x14ac:dyDescent="0.3">
      <c r="A164" s="4" t="s">
        <v>25</v>
      </c>
      <c r="B164" s="4" t="s">
        <v>11</v>
      </c>
      <c r="C164" s="4" t="s">
        <v>10</v>
      </c>
      <c r="D164" s="4" t="s">
        <v>2</v>
      </c>
      <c r="E164" s="4">
        <v>585.16</v>
      </c>
      <c r="F164" s="4">
        <v>17</v>
      </c>
      <c r="G164" s="4">
        <f t="shared" si="14"/>
        <v>9947.7199999999993</v>
      </c>
      <c r="H164" s="8">
        <v>0.1</v>
      </c>
      <c r="I164" s="5">
        <v>45684</v>
      </c>
      <c r="J164" s="4">
        <v>263.32</v>
      </c>
      <c r="K164" s="10">
        <f t="shared" si="17"/>
        <v>8952.9480000000003</v>
      </c>
      <c r="L164" s="10">
        <f t="shared" si="15"/>
        <v>8689.6280000000006</v>
      </c>
      <c r="M164" s="16">
        <f t="shared" ca="1" si="16"/>
        <v>46105.637639351851</v>
      </c>
      <c r="R164" s="11"/>
    </row>
    <row r="165" spans="1:18" ht="15.75" customHeight="1" x14ac:dyDescent="0.3">
      <c r="A165" s="4" t="s">
        <v>25</v>
      </c>
      <c r="B165" s="4" t="s">
        <v>41</v>
      </c>
      <c r="C165" s="4" t="s">
        <v>7</v>
      </c>
      <c r="D165" s="4" t="s">
        <v>2</v>
      </c>
      <c r="E165" s="4">
        <v>1109.98</v>
      </c>
      <c r="F165" s="4">
        <v>5</v>
      </c>
      <c r="G165" s="4">
        <f t="shared" si="14"/>
        <v>5549.9</v>
      </c>
      <c r="H165" s="8">
        <v>0.2</v>
      </c>
      <c r="I165" s="5">
        <v>45690</v>
      </c>
      <c r="J165" s="4">
        <v>443.99</v>
      </c>
      <c r="K165" s="10">
        <f t="shared" si="17"/>
        <v>4439.92</v>
      </c>
      <c r="L165" s="10">
        <f t="shared" si="15"/>
        <v>3995.9300000000003</v>
      </c>
      <c r="M165" s="16">
        <f t="shared" ca="1" si="16"/>
        <v>46105.637639351851</v>
      </c>
      <c r="R165" s="11"/>
    </row>
    <row r="166" spans="1:18" ht="15.75" customHeight="1" x14ac:dyDescent="0.3">
      <c r="A166" s="4" t="s">
        <v>12</v>
      </c>
      <c r="B166" s="4" t="s">
        <v>47</v>
      </c>
      <c r="C166" s="4" t="s">
        <v>7</v>
      </c>
      <c r="D166" s="4" t="s">
        <v>6</v>
      </c>
      <c r="E166" s="4">
        <v>1098.08</v>
      </c>
      <c r="F166" s="4">
        <v>9</v>
      </c>
      <c r="G166" s="4">
        <f t="shared" si="14"/>
        <v>9882.7199999999993</v>
      </c>
      <c r="H166" s="8">
        <v>0.1</v>
      </c>
      <c r="I166" s="5">
        <v>45692</v>
      </c>
      <c r="J166" s="4">
        <v>395.31</v>
      </c>
      <c r="K166" s="10">
        <f t="shared" si="17"/>
        <v>8894.4480000000003</v>
      </c>
      <c r="L166" s="10">
        <f t="shared" si="15"/>
        <v>8499.1380000000008</v>
      </c>
      <c r="M166" s="16">
        <f t="shared" ca="1" si="16"/>
        <v>46105.637639351851</v>
      </c>
      <c r="R166" s="11"/>
    </row>
    <row r="167" spans="1:18" ht="15.75" customHeight="1" x14ac:dyDescent="0.3">
      <c r="A167" s="4" t="s">
        <v>45</v>
      </c>
      <c r="B167" s="4" t="s">
        <v>50</v>
      </c>
      <c r="C167" s="4" t="s">
        <v>10</v>
      </c>
      <c r="D167" s="4" t="s">
        <v>9</v>
      </c>
      <c r="E167" s="4">
        <v>827.25</v>
      </c>
      <c r="F167" s="4">
        <v>7</v>
      </c>
      <c r="G167" s="4">
        <f t="shared" si="14"/>
        <v>5790.75</v>
      </c>
      <c r="H167" s="8">
        <v>0.1</v>
      </c>
      <c r="I167" s="5">
        <v>45693</v>
      </c>
      <c r="J167" s="4">
        <v>335.04</v>
      </c>
      <c r="K167" s="10">
        <f t="shared" si="17"/>
        <v>5211.6750000000002</v>
      </c>
      <c r="L167" s="10">
        <f t="shared" si="15"/>
        <v>4876.6350000000002</v>
      </c>
      <c r="M167" s="16">
        <f t="shared" ca="1" si="16"/>
        <v>46105.637639351851</v>
      </c>
      <c r="R167" s="11"/>
    </row>
    <row r="168" spans="1:18" ht="15.75" customHeight="1" x14ac:dyDescent="0.3">
      <c r="A168" s="4" t="s">
        <v>16</v>
      </c>
      <c r="B168" s="4" t="s">
        <v>39</v>
      </c>
      <c r="C168" s="4" t="s">
        <v>15</v>
      </c>
      <c r="D168" s="4" t="s">
        <v>2</v>
      </c>
      <c r="E168" s="4">
        <v>741.88</v>
      </c>
      <c r="F168" s="4">
        <v>16</v>
      </c>
      <c r="G168" s="4">
        <f t="shared" si="14"/>
        <v>11870.08</v>
      </c>
      <c r="H168" s="8">
        <v>0.1</v>
      </c>
      <c r="I168" s="5">
        <v>45695</v>
      </c>
      <c r="J168" s="4">
        <v>333.85</v>
      </c>
      <c r="K168" s="10">
        <f t="shared" si="17"/>
        <v>10683.072</v>
      </c>
      <c r="L168" s="10">
        <f t="shared" si="15"/>
        <v>10349.222</v>
      </c>
      <c r="M168" s="16">
        <f t="shared" ca="1" si="16"/>
        <v>46105.637639351851</v>
      </c>
      <c r="R168" s="11"/>
    </row>
    <row r="169" spans="1:18" ht="15.75" customHeight="1" x14ac:dyDescent="0.3">
      <c r="A169" s="4" t="s">
        <v>40</v>
      </c>
      <c r="B169" s="4" t="s">
        <v>26</v>
      </c>
      <c r="C169" s="4" t="s">
        <v>7</v>
      </c>
      <c r="D169" s="4" t="s">
        <v>9</v>
      </c>
      <c r="E169" s="4">
        <v>1311.26</v>
      </c>
      <c r="F169" s="4">
        <v>6</v>
      </c>
      <c r="G169" s="4">
        <f t="shared" si="14"/>
        <v>7867.5599999999995</v>
      </c>
      <c r="H169" s="8">
        <v>0.1</v>
      </c>
      <c r="I169" s="5">
        <v>45698</v>
      </c>
      <c r="J169" s="4">
        <v>531.05999999999995</v>
      </c>
      <c r="K169" s="10">
        <f t="shared" si="17"/>
        <v>7080.8040000000001</v>
      </c>
      <c r="L169" s="10">
        <f t="shared" si="15"/>
        <v>6549.7440000000006</v>
      </c>
      <c r="M169" s="16">
        <f t="shared" ca="1" si="16"/>
        <v>46105.637639351851</v>
      </c>
      <c r="R169" s="11"/>
    </row>
    <row r="170" spans="1:18" ht="15.75" customHeight="1" x14ac:dyDescent="0.3">
      <c r="A170" s="4" t="s">
        <v>40</v>
      </c>
      <c r="B170" s="4" t="s">
        <v>41</v>
      </c>
      <c r="C170" s="4" t="s">
        <v>3</v>
      </c>
      <c r="D170" s="4" t="s">
        <v>9</v>
      </c>
      <c r="E170" s="4">
        <v>573.32000000000005</v>
      </c>
      <c r="F170" s="4">
        <v>19</v>
      </c>
      <c r="G170" s="4">
        <f t="shared" si="14"/>
        <v>10893.080000000002</v>
      </c>
      <c r="H170" s="8">
        <v>0.1</v>
      </c>
      <c r="I170" s="5">
        <v>45703</v>
      </c>
      <c r="J170" s="4">
        <v>232.19</v>
      </c>
      <c r="K170" s="10">
        <f t="shared" si="17"/>
        <v>9803.7720000000027</v>
      </c>
      <c r="L170" s="10">
        <f t="shared" si="15"/>
        <v>9571.5820000000022</v>
      </c>
      <c r="M170" s="16">
        <f t="shared" ca="1" si="16"/>
        <v>46105.637639351851</v>
      </c>
      <c r="R170" s="11"/>
    </row>
    <row r="171" spans="1:18" ht="15.75" customHeight="1" x14ac:dyDescent="0.3">
      <c r="A171" s="4" t="s">
        <v>14</v>
      </c>
      <c r="B171" s="4" t="s">
        <v>49</v>
      </c>
      <c r="C171" s="4" t="s">
        <v>10</v>
      </c>
      <c r="D171" s="4" t="s">
        <v>30</v>
      </c>
      <c r="E171" s="4">
        <v>1115.22</v>
      </c>
      <c r="F171" s="4">
        <v>14</v>
      </c>
      <c r="G171" s="4">
        <f t="shared" si="14"/>
        <v>15613.08</v>
      </c>
      <c r="H171" s="8">
        <v>0.2</v>
      </c>
      <c r="I171" s="5">
        <v>45705</v>
      </c>
      <c r="J171" s="4">
        <v>223.04</v>
      </c>
      <c r="K171" s="10">
        <f t="shared" si="17"/>
        <v>12490.464</v>
      </c>
      <c r="L171" s="10">
        <f t="shared" si="15"/>
        <v>12267.423999999999</v>
      </c>
      <c r="M171" s="16">
        <f t="shared" ca="1" si="16"/>
        <v>46105.637639351851</v>
      </c>
      <c r="R171" s="11"/>
    </row>
    <row r="172" spans="1:18" ht="15.75" customHeight="1" x14ac:dyDescent="0.3">
      <c r="A172" s="4" t="s">
        <v>48</v>
      </c>
      <c r="B172" s="4" t="s">
        <v>47</v>
      </c>
      <c r="C172" s="4" t="s">
        <v>23</v>
      </c>
      <c r="D172" s="4" t="s">
        <v>2</v>
      </c>
      <c r="E172" s="4">
        <v>845.84</v>
      </c>
      <c r="F172" s="4">
        <v>4</v>
      </c>
      <c r="G172" s="4">
        <f t="shared" si="14"/>
        <v>3383.36</v>
      </c>
      <c r="H172" s="8">
        <v>0</v>
      </c>
      <c r="I172" s="5">
        <v>45707</v>
      </c>
      <c r="J172" s="4">
        <v>422.92</v>
      </c>
      <c r="K172" s="10">
        <f t="shared" si="17"/>
        <v>3383.36</v>
      </c>
      <c r="L172" s="10">
        <f t="shared" si="15"/>
        <v>2960.44</v>
      </c>
      <c r="M172" s="16">
        <f t="shared" ca="1" si="16"/>
        <v>46105.637639351851</v>
      </c>
      <c r="R172" s="11"/>
    </row>
    <row r="173" spans="1:18" ht="15.75" customHeight="1" x14ac:dyDescent="0.3">
      <c r="A173" s="4" t="s">
        <v>46</v>
      </c>
      <c r="B173" s="4" t="s">
        <v>34</v>
      </c>
      <c r="C173" s="4" t="s">
        <v>10</v>
      </c>
      <c r="D173" s="4" t="s">
        <v>30</v>
      </c>
      <c r="E173" s="4">
        <v>1029.8</v>
      </c>
      <c r="F173" s="4">
        <v>3</v>
      </c>
      <c r="G173" s="4">
        <f t="shared" si="14"/>
        <v>3089.3999999999996</v>
      </c>
      <c r="H173" s="8">
        <v>0</v>
      </c>
      <c r="I173" s="5">
        <v>45708</v>
      </c>
      <c r="J173" s="4">
        <v>257.45</v>
      </c>
      <c r="K173" s="10">
        <f t="shared" si="17"/>
        <v>3089.3999999999996</v>
      </c>
      <c r="L173" s="10">
        <f t="shared" si="15"/>
        <v>2831.95</v>
      </c>
      <c r="M173" s="16">
        <f t="shared" ca="1" si="16"/>
        <v>46105.637639351851</v>
      </c>
      <c r="R173" s="11"/>
    </row>
    <row r="174" spans="1:18" ht="15.75" customHeight="1" x14ac:dyDescent="0.3">
      <c r="A174" s="4" t="s">
        <v>29</v>
      </c>
      <c r="B174" s="4" t="s">
        <v>41</v>
      </c>
      <c r="C174" s="4" t="s">
        <v>23</v>
      </c>
      <c r="D174" s="4" t="s">
        <v>6</v>
      </c>
      <c r="E174" s="4">
        <v>1189.83</v>
      </c>
      <c r="F174" s="4">
        <v>2</v>
      </c>
      <c r="G174" s="4">
        <f t="shared" si="14"/>
        <v>2379.66</v>
      </c>
      <c r="H174" s="8">
        <v>0.2</v>
      </c>
      <c r="I174" s="5">
        <v>45709</v>
      </c>
      <c r="J174" s="4">
        <v>380.75</v>
      </c>
      <c r="K174" s="10">
        <f t="shared" si="17"/>
        <v>1903.7280000000001</v>
      </c>
      <c r="L174" s="10">
        <f t="shared" si="15"/>
        <v>1522.9780000000001</v>
      </c>
      <c r="M174" s="16">
        <f t="shared" ca="1" si="16"/>
        <v>46105.637639351851</v>
      </c>
      <c r="R174" s="11"/>
    </row>
    <row r="175" spans="1:18" ht="15.75" customHeight="1" x14ac:dyDescent="0.3">
      <c r="A175" s="4" t="s">
        <v>37</v>
      </c>
      <c r="B175" s="4" t="s">
        <v>11</v>
      </c>
      <c r="C175" s="4" t="s">
        <v>3</v>
      </c>
      <c r="D175" s="4" t="s">
        <v>6</v>
      </c>
      <c r="E175" s="4">
        <v>704.28</v>
      </c>
      <c r="F175" s="4">
        <v>15</v>
      </c>
      <c r="G175" s="4">
        <f t="shared" si="14"/>
        <v>10564.199999999999</v>
      </c>
      <c r="H175" s="8">
        <v>0.2</v>
      </c>
      <c r="I175" s="5">
        <v>45712</v>
      </c>
      <c r="J175" s="4">
        <v>225.37</v>
      </c>
      <c r="K175" s="10">
        <f t="shared" si="17"/>
        <v>8451.3599999999988</v>
      </c>
      <c r="L175" s="10">
        <f t="shared" si="15"/>
        <v>8225.989999999998</v>
      </c>
      <c r="M175" s="16">
        <f t="shared" ca="1" si="16"/>
        <v>46105.637639351851</v>
      </c>
      <c r="R175" s="11"/>
    </row>
    <row r="176" spans="1:18" ht="15.75" customHeight="1" x14ac:dyDescent="0.3">
      <c r="A176" s="4" t="s">
        <v>45</v>
      </c>
      <c r="B176" s="4" t="s">
        <v>44</v>
      </c>
      <c r="C176" s="4" t="s">
        <v>15</v>
      </c>
      <c r="D176" s="4" t="s">
        <v>9</v>
      </c>
      <c r="E176" s="4">
        <v>1618.22</v>
      </c>
      <c r="F176" s="4">
        <v>12</v>
      </c>
      <c r="G176" s="4">
        <f t="shared" si="14"/>
        <v>19418.64</v>
      </c>
      <c r="H176" s="8">
        <v>0.2</v>
      </c>
      <c r="I176" s="5">
        <v>45712</v>
      </c>
      <c r="J176" s="4">
        <v>582.55999999999995</v>
      </c>
      <c r="K176" s="10">
        <f t="shared" si="17"/>
        <v>15534.912</v>
      </c>
      <c r="L176" s="10">
        <f t="shared" si="15"/>
        <v>14952.352000000001</v>
      </c>
      <c r="M176" s="16">
        <f t="shared" ca="1" si="16"/>
        <v>46105.637639351851</v>
      </c>
      <c r="R176" s="11"/>
    </row>
    <row r="177" spans="1:18" ht="15.75" customHeight="1" x14ac:dyDescent="0.3">
      <c r="A177" s="4" t="s">
        <v>43</v>
      </c>
      <c r="B177" s="4" t="s">
        <v>24</v>
      </c>
      <c r="C177" s="4" t="s">
        <v>15</v>
      </c>
      <c r="D177" s="4" t="s">
        <v>6</v>
      </c>
      <c r="E177" s="4">
        <v>1014.43</v>
      </c>
      <c r="F177" s="4">
        <v>2</v>
      </c>
      <c r="G177" s="4">
        <f t="shared" si="14"/>
        <v>2028.86</v>
      </c>
      <c r="H177" s="8">
        <v>0.15</v>
      </c>
      <c r="I177" s="5">
        <v>45713</v>
      </c>
      <c r="J177" s="4">
        <v>344.91</v>
      </c>
      <c r="K177" s="10">
        <f t="shared" si="17"/>
        <v>1724.5309999999999</v>
      </c>
      <c r="L177" s="10">
        <f t="shared" si="15"/>
        <v>1379.6209999999999</v>
      </c>
      <c r="M177" s="16">
        <f t="shared" ca="1" si="16"/>
        <v>46105.637639351851</v>
      </c>
      <c r="R177" s="11"/>
    </row>
    <row r="178" spans="1:18" ht="15.75" customHeight="1" x14ac:dyDescent="0.3">
      <c r="A178" s="4" t="s">
        <v>22</v>
      </c>
      <c r="B178" s="4" t="s">
        <v>41</v>
      </c>
      <c r="C178" s="4" t="s">
        <v>15</v>
      </c>
      <c r="D178" s="4" t="s">
        <v>2</v>
      </c>
      <c r="E178" s="4">
        <v>826.97</v>
      </c>
      <c r="F178" s="4">
        <v>18</v>
      </c>
      <c r="G178" s="4">
        <f t="shared" si="14"/>
        <v>14885.460000000001</v>
      </c>
      <c r="H178" s="8">
        <v>0.2</v>
      </c>
      <c r="I178" s="5">
        <v>45715</v>
      </c>
      <c r="J178" s="4">
        <v>330.79</v>
      </c>
      <c r="K178" s="10">
        <f t="shared" si="17"/>
        <v>11908.368000000002</v>
      </c>
      <c r="L178" s="10">
        <f t="shared" si="15"/>
        <v>11577.578000000001</v>
      </c>
      <c r="M178" s="16">
        <f t="shared" ca="1" si="16"/>
        <v>46105.637639351851</v>
      </c>
      <c r="R178" s="11"/>
    </row>
    <row r="179" spans="1:18" ht="15.75" customHeight="1" x14ac:dyDescent="0.3">
      <c r="A179" s="4" t="s">
        <v>42</v>
      </c>
      <c r="B179" s="4" t="s">
        <v>41</v>
      </c>
      <c r="C179" s="4" t="s">
        <v>15</v>
      </c>
      <c r="D179" s="4" t="s">
        <v>2</v>
      </c>
      <c r="E179" s="4">
        <v>1022.23</v>
      </c>
      <c r="F179" s="4">
        <v>8</v>
      </c>
      <c r="G179" s="4">
        <f t="shared" si="14"/>
        <v>8177.84</v>
      </c>
      <c r="H179" s="8">
        <v>0.1</v>
      </c>
      <c r="I179" s="5">
        <v>45717</v>
      </c>
      <c r="J179" s="4">
        <v>460</v>
      </c>
      <c r="K179" s="10">
        <f t="shared" si="17"/>
        <v>7360.0560000000005</v>
      </c>
      <c r="L179" s="10">
        <f t="shared" si="15"/>
        <v>6900.0560000000005</v>
      </c>
      <c r="M179" s="16">
        <f t="shared" ca="1" si="16"/>
        <v>46105.637639351851</v>
      </c>
      <c r="R179" s="11"/>
    </row>
    <row r="180" spans="1:18" ht="15.75" customHeight="1" x14ac:dyDescent="0.3">
      <c r="A180" s="4" t="s">
        <v>40</v>
      </c>
      <c r="B180" s="4" t="s">
        <v>39</v>
      </c>
      <c r="C180" s="4" t="s">
        <v>7</v>
      </c>
      <c r="D180" s="4" t="s">
        <v>6</v>
      </c>
      <c r="E180" s="4">
        <v>1099.69</v>
      </c>
      <c r="F180" s="4">
        <v>6</v>
      </c>
      <c r="G180" s="4">
        <f t="shared" si="14"/>
        <v>6598.14</v>
      </c>
      <c r="H180" s="8">
        <v>0</v>
      </c>
      <c r="I180" s="5">
        <v>45718</v>
      </c>
      <c r="J180" s="4">
        <v>439.88</v>
      </c>
      <c r="K180" s="10">
        <f t="shared" si="17"/>
        <v>6598.14</v>
      </c>
      <c r="L180" s="10">
        <f t="shared" si="15"/>
        <v>6158.26</v>
      </c>
      <c r="M180" s="16">
        <f t="shared" ca="1" si="16"/>
        <v>46105.637639351851</v>
      </c>
      <c r="R180" s="11"/>
    </row>
    <row r="181" spans="1:18" ht="15.75" customHeight="1" x14ac:dyDescent="0.3">
      <c r="A181" s="4" t="s">
        <v>14</v>
      </c>
      <c r="B181" s="4" t="s">
        <v>38</v>
      </c>
      <c r="C181" s="4" t="s">
        <v>23</v>
      </c>
      <c r="D181" s="4" t="s">
        <v>6</v>
      </c>
      <c r="E181" s="4">
        <v>710.52</v>
      </c>
      <c r="F181" s="4">
        <v>8</v>
      </c>
      <c r="G181" s="4">
        <f t="shared" si="14"/>
        <v>5684.16</v>
      </c>
      <c r="H181" s="8">
        <v>0.1</v>
      </c>
      <c r="I181" s="5">
        <v>45721</v>
      </c>
      <c r="J181" s="4">
        <v>255.79</v>
      </c>
      <c r="K181" s="10">
        <f t="shared" si="17"/>
        <v>5115.7439999999997</v>
      </c>
      <c r="L181" s="10">
        <f t="shared" si="15"/>
        <v>4859.9539999999997</v>
      </c>
      <c r="M181" s="16">
        <f t="shared" ca="1" si="16"/>
        <v>46105.637639351851</v>
      </c>
      <c r="R181" s="11"/>
    </row>
    <row r="182" spans="1:18" ht="15.75" customHeight="1" x14ac:dyDescent="0.3">
      <c r="A182" s="4" t="s">
        <v>14</v>
      </c>
      <c r="B182" s="4" t="s">
        <v>32</v>
      </c>
      <c r="C182" s="4" t="s">
        <v>23</v>
      </c>
      <c r="D182" s="4" t="s">
        <v>6</v>
      </c>
      <c r="E182" s="4">
        <v>499.18</v>
      </c>
      <c r="F182" s="4">
        <v>15</v>
      </c>
      <c r="G182" s="4">
        <f t="shared" si="14"/>
        <v>7487.7</v>
      </c>
      <c r="H182" s="8">
        <v>0.2</v>
      </c>
      <c r="I182" s="5">
        <v>45724</v>
      </c>
      <c r="J182" s="4">
        <v>159.74</v>
      </c>
      <c r="K182" s="10">
        <f t="shared" si="17"/>
        <v>5990.16</v>
      </c>
      <c r="L182" s="10">
        <f t="shared" si="15"/>
        <v>5830.42</v>
      </c>
      <c r="M182" s="16">
        <f t="shared" ca="1" si="16"/>
        <v>46105.637639351851</v>
      </c>
      <c r="R182" s="11"/>
    </row>
    <row r="183" spans="1:18" ht="15.75" customHeight="1" x14ac:dyDescent="0.3">
      <c r="A183" s="4" t="s">
        <v>17</v>
      </c>
      <c r="B183" s="4" t="s">
        <v>36</v>
      </c>
      <c r="C183" s="4" t="s">
        <v>3</v>
      </c>
      <c r="D183" s="4" t="s">
        <v>6</v>
      </c>
      <c r="E183" s="4">
        <v>1064.19</v>
      </c>
      <c r="F183" s="4">
        <v>18</v>
      </c>
      <c r="G183" s="4">
        <f t="shared" si="14"/>
        <v>19155.420000000002</v>
      </c>
      <c r="H183" s="8">
        <v>0.05</v>
      </c>
      <c r="I183" s="5">
        <v>45725</v>
      </c>
      <c r="J183" s="4">
        <v>404.39</v>
      </c>
      <c r="K183" s="10">
        <f t="shared" si="17"/>
        <v>18197.649000000001</v>
      </c>
      <c r="L183" s="10">
        <f t="shared" si="15"/>
        <v>17793.259000000002</v>
      </c>
      <c r="M183" s="16">
        <f t="shared" ca="1" si="16"/>
        <v>46105.637639351851</v>
      </c>
      <c r="R183" s="11"/>
    </row>
    <row r="184" spans="1:18" ht="15.75" customHeight="1" x14ac:dyDescent="0.3">
      <c r="A184" s="4" t="s">
        <v>37</v>
      </c>
      <c r="B184" s="4" t="s">
        <v>36</v>
      </c>
      <c r="C184" s="4" t="s">
        <v>7</v>
      </c>
      <c r="D184" s="4" t="s">
        <v>9</v>
      </c>
      <c r="E184" s="4">
        <v>438.76</v>
      </c>
      <c r="F184" s="4">
        <v>18</v>
      </c>
      <c r="G184" s="4">
        <f t="shared" si="14"/>
        <v>7897.68</v>
      </c>
      <c r="H184" s="8">
        <v>0.05</v>
      </c>
      <c r="I184" s="5">
        <v>45726</v>
      </c>
      <c r="J184" s="4">
        <v>187.57</v>
      </c>
      <c r="K184" s="10">
        <f t="shared" si="17"/>
        <v>7502.7960000000003</v>
      </c>
      <c r="L184" s="10">
        <f t="shared" si="15"/>
        <v>7315.2260000000006</v>
      </c>
      <c r="M184" s="16">
        <f t="shared" ca="1" si="16"/>
        <v>46105.637639351851</v>
      </c>
      <c r="R184" s="11"/>
    </row>
    <row r="185" spans="1:18" ht="15.75" customHeight="1" x14ac:dyDescent="0.3">
      <c r="A185" s="4" t="s">
        <v>31</v>
      </c>
      <c r="B185" s="4" t="s">
        <v>34</v>
      </c>
      <c r="C185" s="4" t="s">
        <v>10</v>
      </c>
      <c r="D185" s="4" t="s">
        <v>2</v>
      </c>
      <c r="E185" s="4">
        <v>864.98</v>
      </c>
      <c r="F185" s="4">
        <v>2</v>
      </c>
      <c r="G185" s="4">
        <f t="shared" si="14"/>
        <v>1729.96</v>
      </c>
      <c r="H185" s="8">
        <v>0.05</v>
      </c>
      <c r="I185" s="5">
        <v>45727</v>
      </c>
      <c r="J185" s="4">
        <v>410.87</v>
      </c>
      <c r="K185" s="10">
        <f t="shared" si="17"/>
        <v>1643.462</v>
      </c>
      <c r="L185" s="10">
        <f t="shared" si="15"/>
        <v>1232.5920000000001</v>
      </c>
      <c r="M185" s="16">
        <f t="shared" ca="1" si="16"/>
        <v>46105.637639351851</v>
      </c>
      <c r="R185" s="11"/>
    </row>
    <row r="186" spans="1:18" ht="15.75" customHeight="1" x14ac:dyDescent="0.3">
      <c r="A186" s="4" t="s">
        <v>35</v>
      </c>
      <c r="B186" s="4" t="s">
        <v>34</v>
      </c>
      <c r="C186" s="4" t="s">
        <v>10</v>
      </c>
      <c r="D186" s="4" t="s">
        <v>18</v>
      </c>
      <c r="E186" s="4">
        <v>984.93</v>
      </c>
      <c r="F186" s="4">
        <v>14</v>
      </c>
      <c r="G186" s="4">
        <f t="shared" si="14"/>
        <v>13789.019999999999</v>
      </c>
      <c r="H186" s="8">
        <v>0.2</v>
      </c>
      <c r="I186" s="5">
        <v>45733</v>
      </c>
      <c r="J186" s="4">
        <v>275.77999999999997</v>
      </c>
      <c r="K186" s="10">
        <f t="shared" si="17"/>
        <v>11031.216</v>
      </c>
      <c r="L186" s="10">
        <f t="shared" si="15"/>
        <v>10755.436</v>
      </c>
      <c r="M186" s="16">
        <f t="shared" ca="1" si="16"/>
        <v>46105.637639351851</v>
      </c>
      <c r="R186" s="11"/>
    </row>
    <row r="187" spans="1:18" ht="15.75" customHeight="1" x14ac:dyDescent="0.3">
      <c r="A187" s="4" t="s">
        <v>27</v>
      </c>
      <c r="B187" s="4" t="s">
        <v>34</v>
      </c>
      <c r="C187" s="4" t="s">
        <v>10</v>
      </c>
      <c r="D187" s="4" t="s">
        <v>2</v>
      </c>
      <c r="E187" s="4">
        <v>1493.49</v>
      </c>
      <c r="F187" s="4">
        <v>18</v>
      </c>
      <c r="G187" s="4">
        <f t="shared" si="14"/>
        <v>26882.82</v>
      </c>
      <c r="H187" s="8">
        <v>0</v>
      </c>
      <c r="I187" s="5">
        <v>45734</v>
      </c>
      <c r="J187" s="4">
        <v>746.74</v>
      </c>
      <c r="K187" s="10">
        <f t="shared" si="17"/>
        <v>26882.82</v>
      </c>
      <c r="L187" s="10">
        <f t="shared" si="15"/>
        <v>26136.079999999998</v>
      </c>
      <c r="M187" s="16">
        <f t="shared" ca="1" si="16"/>
        <v>46105.637639351851</v>
      </c>
      <c r="R187" s="11"/>
    </row>
    <row r="188" spans="1:18" ht="15.75" customHeight="1" x14ac:dyDescent="0.3">
      <c r="A188" s="4" t="s">
        <v>29</v>
      </c>
      <c r="B188" s="4" t="s">
        <v>24</v>
      </c>
      <c r="C188" s="4" t="s">
        <v>3</v>
      </c>
      <c r="D188" s="4" t="s">
        <v>2</v>
      </c>
      <c r="E188" s="4">
        <v>689.43</v>
      </c>
      <c r="F188" s="4">
        <v>9</v>
      </c>
      <c r="G188" s="4">
        <f t="shared" si="14"/>
        <v>6204.87</v>
      </c>
      <c r="H188" s="8">
        <v>0.1</v>
      </c>
      <c r="I188" s="5">
        <v>45736</v>
      </c>
      <c r="J188" s="4">
        <v>310.24</v>
      </c>
      <c r="K188" s="10">
        <f t="shared" si="17"/>
        <v>5584.3829999999998</v>
      </c>
      <c r="L188" s="10">
        <f t="shared" si="15"/>
        <v>5274.143</v>
      </c>
      <c r="M188" s="16">
        <f t="shared" ca="1" si="16"/>
        <v>46105.637639351851</v>
      </c>
      <c r="R188" s="11"/>
    </row>
    <row r="189" spans="1:18" ht="15.75" customHeight="1" x14ac:dyDescent="0.3">
      <c r="A189" s="4" t="s">
        <v>33</v>
      </c>
      <c r="B189" s="4" t="s">
        <v>32</v>
      </c>
      <c r="C189" s="4" t="s">
        <v>3</v>
      </c>
      <c r="D189" s="4" t="s">
        <v>2</v>
      </c>
      <c r="E189" s="4">
        <v>682.24</v>
      </c>
      <c r="F189" s="4">
        <v>1</v>
      </c>
      <c r="G189" s="4">
        <f t="shared" si="14"/>
        <v>682.24</v>
      </c>
      <c r="H189" s="8">
        <v>0</v>
      </c>
      <c r="I189" s="5">
        <v>45738</v>
      </c>
      <c r="J189" s="4">
        <v>341.12</v>
      </c>
      <c r="K189" s="10">
        <f t="shared" si="17"/>
        <v>682.24</v>
      </c>
      <c r="L189" s="10">
        <f t="shared" si="15"/>
        <v>341.12</v>
      </c>
      <c r="M189" s="16">
        <f t="shared" ca="1" si="16"/>
        <v>46105.637639351851</v>
      </c>
      <c r="R189" s="11"/>
    </row>
    <row r="190" spans="1:18" ht="15.75" customHeight="1" x14ac:dyDescent="0.3">
      <c r="A190" s="4" t="s">
        <v>31</v>
      </c>
      <c r="B190" s="4" t="s">
        <v>28</v>
      </c>
      <c r="C190" s="4" t="s">
        <v>23</v>
      </c>
      <c r="D190" s="4" t="s">
        <v>30</v>
      </c>
      <c r="E190" s="4">
        <v>458.54</v>
      </c>
      <c r="F190" s="4">
        <v>15</v>
      </c>
      <c r="G190" s="4">
        <f t="shared" si="14"/>
        <v>6878.1</v>
      </c>
      <c r="H190" s="8">
        <v>0.2</v>
      </c>
      <c r="I190" s="5">
        <v>45741</v>
      </c>
      <c r="J190" s="4">
        <v>91.71</v>
      </c>
      <c r="K190" s="10">
        <f t="shared" si="17"/>
        <v>5502.4800000000005</v>
      </c>
      <c r="L190" s="10">
        <f t="shared" si="15"/>
        <v>5410.77</v>
      </c>
      <c r="M190" s="16">
        <f t="shared" ca="1" si="16"/>
        <v>46105.637639351851</v>
      </c>
      <c r="R190" s="11"/>
    </row>
    <row r="191" spans="1:18" ht="15.75" customHeight="1" x14ac:dyDescent="0.3">
      <c r="A191" s="4" t="s">
        <v>29</v>
      </c>
      <c r="B191" s="4" t="s">
        <v>28</v>
      </c>
      <c r="C191" s="4" t="s">
        <v>3</v>
      </c>
      <c r="D191" s="4" t="s">
        <v>18</v>
      </c>
      <c r="E191" s="4">
        <v>1184.25</v>
      </c>
      <c r="F191" s="4">
        <v>11</v>
      </c>
      <c r="G191" s="4">
        <f t="shared" si="14"/>
        <v>13026.75</v>
      </c>
      <c r="H191" s="8">
        <v>0.2</v>
      </c>
      <c r="I191" s="5">
        <v>45742</v>
      </c>
      <c r="J191" s="4">
        <v>331.59</v>
      </c>
      <c r="K191" s="10">
        <f t="shared" si="17"/>
        <v>10421.400000000001</v>
      </c>
      <c r="L191" s="10">
        <f t="shared" si="15"/>
        <v>10089.810000000001</v>
      </c>
      <c r="M191" s="16">
        <f t="shared" ca="1" si="16"/>
        <v>46105.637639351851</v>
      </c>
      <c r="R191" s="11"/>
    </row>
    <row r="192" spans="1:18" ht="15.75" customHeight="1" x14ac:dyDescent="0.3">
      <c r="A192" s="4" t="s">
        <v>27</v>
      </c>
      <c r="B192" s="4" t="s">
        <v>26</v>
      </c>
      <c r="C192" s="4" t="s">
        <v>3</v>
      </c>
      <c r="D192" s="4" t="s">
        <v>2</v>
      </c>
      <c r="E192" s="4">
        <v>762.14</v>
      </c>
      <c r="F192" s="4">
        <v>9</v>
      </c>
      <c r="G192" s="4">
        <f t="shared" si="14"/>
        <v>6859.26</v>
      </c>
      <c r="H192" s="8">
        <v>0</v>
      </c>
      <c r="I192" s="5">
        <v>45743</v>
      </c>
      <c r="J192" s="4">
        <v>381.07</v>
      </c>
      <c r="K192" s="10">
        <f t="shared" si="17"/>
        <v>6859.26</v>
      </c>
      <c r="L192" s="10">
        <f t="shared" si="15"/>
        <v>6478.1900000000005</v>
      </c>
      <c r="M192" s="16">
        <f t="shared" ca="1" si="16"/>
        <v>46105.637639351851</v>
      </c>
      <c r="R192" s="11"/>
    </row>
    <row r="193" spans="1:18" ht="15.75" customHeight="1" x14ac:dyDescent="0.3">
      <c r="A193" s="4" t="s">
        <v>25</v>
      </c>
      <c r="B193" s="4" t="s">
        <v>24</v>
      </c>
      <c r="C193" s="4" t="s">
        <v>23</v>
      </c>
      <c r="D193" s="4" t="s">
        <v>6</v>
      </c>
      <c r="E193" s="4">
        <v>750.71</v>
      </c>
      <c r="F193" s="4">
        <v>10</v>
      </c>
      <c r="G193" s="4">
        <f t="shared" si="14"/>
        <v>7507.1</v>
      </c>
      <c r="H193" s="8">
        <v>0.15</v>
      </c>
      <c r="I193" s="5">
        <v>45743</v>
      </c>
      <c r="J193" s="4">
        <v>255.24</v>
      </c>
      <c r="K193" s="10">
        <f t="shared" si="17"/>
        <v>6381.0349999999999</v>
      </c>
      <c r="L193" s="10">
        <f t="shared" si="15"/>
        <v>6125.7950000000001</v>
      </c>
      <c r="M193" s="16">
        <f t="shared" ca="1" si="16"/>
        <v>46105.637639351851</v>
      </c>
      <c r="R193" s="11"/>
    </row>
    <row r="194" spans="1:18" ht="15.75" customHeight="1" x14ac:dyDescent="0.3">
      <c r="A194" s="4" t="s">
        <v>22</v>
      </c>
      <c r="B194" s="4" t="s">
        <v>21</v>
      </c>
      <c r="C194" s="4" t="s">
        <v>15</v>
      </c>
      <c r="D194" s="4" t="s">
        <v>2</v>
      </c>
      <c r="E194" s="4">
        <v>1456.94</v>
      </c>
      <c r="F194" s="4">
        <v>14</v>
      </c>
      <c r="G194" s="4">
        <f t="shared" si="14"/>
        <v>20397.16</v>
      </c>
      <c r="H194" s="8">
        <v>0.05</v>
      </c>
      <c r="I194" s="5">
        <v>45745</v>
      </c>
      <c r="J194" s="4">
        <v>692.05</v>
      </c>
      <c r="K194" s="10">
        <f t="shared" ref="K194:K201" si="18" xml:space="preserve"> E194 *F194 * (1 -H194)</f>
        <v>19377.302</v>
      </c>
      <c r="L194" s="10">
        <f t="shared" si="15"/>
        <v>18685.252</v>
      </c>
      <c r="M194" s="16">
        <f t="shared" ca="1" si="16"/>
        <v>46105.637639351851</v>
      </c>
      <c r="R194" s="11"/>
    </row>
    <row r="195" spans="1:18" ht="15.75" customHeight="1" x14ac:dyDescent="0.3">
      <c r="A195" s="4" t="s">
        <v>20</v>
      </c>
      <c r="B195" s="4" t="s">
        <v>19</v>
      </c>
      <c r="C195" s="4" t="s">
        <v>7</v>
      </c>
      <c r="D195" s="4" t="s">
        <v>18</v>
      </c>
      <c r="E195" s="4">
        <v>1093.3800000000001</v>
      </c>
      <c r="F195" s="4">
        <v>17</v>
      </c>
      <c r="G195" s="4">
        <f t="shared" ref="G195:G201" si="19">E195*F195</f>
        <v>18587.460000000003</v>
      </c>
      <c r="H195" s="8">
        <v>0.1</v>
      </c>
      <c r="I195" s="5">
        <v>45745</v>
      </c>
      <c r="J195" s="4">
        <v>344.41</v>
      </c>
      <c r="K195" s="10">
        <f t="shared" si="18"/>
        <v>16728.714000000004</v>
      </c>
      <c r="L195" s="10">
        <f t="shared" ref="L195:L201" si="20">K195-J195</f>
        <v>16384.304000000004</v>
      </c>
      <c r="M195" s="16">
        <f t="shared" ref="M195:M201" ca="1" si="21">NOW()</f>
        <v>46105.637639351851</v>
      </c>
      <c r="R195" s="11"/>
    </row>
    <row r="196" spans="1:18" ht="15.75" customHeight="1" x14ac:dyDescent="0.3">
      <c r="A196" s="4" t="s">
        <v>17</v>
      </c>
      <c r="B196" s="4" t="s">
        <v>11</v>
      </c>
      <c r="C196" s="4" t="s">
        <v>10</v>
      </c>
      <c r="D196" s="4" t="s">
        <v>2</v>
      </c>
      <c r="E196" s="4">
        <v>934.27</v>
      </c>
      <c r="F196" s="4">
        <v>8</v>
      </c>
      <c r="G196" s="4">
        <f t="shared" si="19"/>
        <v>7474.16</v>
      </c>
      <c r="H196" s="8">
        <v>0.15</v>
      </c>
      <c r="I196" s="5">
        <v>45746</v>
      </c>
      <c r="J196" s="4">
        <v>397.06</v>
      </c>
      <c r="K196" s="10">
        <f t="shared" si="18"/>
        <v>6353.0360000000001</v>
      </c>
      <c r="L196" s="10">
        <f t="shared" si="20"/>
        <v>5955.9759999999997</v>
      </c>
      <c r="M196" s="16">
        <f t="shared" ca="1" si="21"/>
        <v>46105.637639351851</v>
      </c>
      <c r="R196" s="11"/>
    </row>
    <row r="197" spans="1:18" ht="15.75" customHeight="1" x14ac:dyDescent="0.3">
      <c r="A197" s="4" t="s">
        <v>16</v>
      </c>
      <c r="B197" s="4" t="s">
        <v>4</v>
      </c>
      <c r="C197" s="4" t="s">
        <v>15</v>
      </c>
      <c r="D197" s="4" t="s">
        <v>2</v>
      </c>
      <c r="E197" s="4">
        <v>1465.35</v>
      </c>
      <c r="F197" s="4">
        <v>8</v>
      </c>
      <c r="G197" s="4">
        <f t="shared" si="19"/>
        <v>11722.8</v>
      </c>
      <c r="H197" s="8">
        <v>0.2</v>
      </c>
      <c r="I197" s="5">
        <v>45746</v>
      </c>
      <c r="J197" s="4">
        <v>586.14</v>
      </c>
      <c r="K197" s="10">
        <f t="shared" si="18"/>
        <v>9378.24</v>
      </c>
      <c r="L197" s="10">
        <f t="shared" si="20"/>
        <v>8792.1</v>
      </c>
      <c r="M197" s="16">
        <f t="shared" ca="1" si="21"/>
        <v>46105.637639351851</v>
      </c>
      <c r="R197" s="11"/>
    </row>
    <row r="198" spans="1:18" ht="15.75" customHeight="1" x14ac:dyDescent="0.3">
      <c r="A198" s="4" t="s">
        <v>14</v>
      </c>
      <c r="B198" s="4" t="s">
        <v>13</v>
      </c>
      <c r="C198" s="4" t="s">
        <v>3</v>
      </c>
      <c r="D198" s="4" t="s">
        <v>9</v>
      </c>
      <c r="E198" s="4">
        <v>740.8</v>
      </c>
      <c r="F198" s="4">
        <v>3</v>
      </c>
      <c r="G198" s="4">
        <f t="shared" si="19"/>
        <v>2222.3999999999996</v>
      </c>
      <c r="H198" s="8">
        <v>0</v>
      </c>
      <c r="I198" s="5">
        <v>45749</v>
      </c>
      <c r="J198" s="4">
        <v>333.36</v>
      </c>
      <c r="K198" s="10">
        <f t="shared" si="18"/>
        <v>2222.3999999999996</v>
      </c>
      <c r="L198" s="10">
        <f t="shared" si="20"/>
        <v>1889.0399999999995</v>
      </c>
      <c r="M198" s="16">
        <f t="shared" ca="1" si="21"/>
        <v>46105.637639351851</v>
      </c>
      <c r="R198" s="11"/>
    </row>
    <row r="199" spans="1:18" ht="15.75" customHeight="1" x14ac:dyDescent="0.3">
      <c r="A199" s="4" t="s">
        <v>12</v>
      </c>
      <c r="B199" s="4" t="s">
        <v>11</v>
      </c>
      <c r="C199" s="4" t="s">
        <v>10</v>
      </c>
      <c r="D199" s="4" t="s">
        <v>9</v>
      </c>
      <c r="E199" s="4">
        <v>545.44000000000005</v>
      </c>
      <c r="F199" s="4">
        <v>17</v>
      </c>
      <c r="G199" s="4">
        <f t="shared" si="19"/>
        <v>9272.4800000000014</v>
      </c>
      <c r="H199" s="8">
        <v>0</v>
      </c>
      <c r="I199" s="5">
        <v>45752</v>
      </c>
      <c r="J199" s="4">
        <v>245.45</v>
      </c>
      <c r="K199" s="10">
        <f t="shared" si="18"/>
        <v>9272.4800000000014</v>
      </c>
      <c r="L199" s="10">
        <f t="shared" si="20"/>
        <v>9027.0300000000007</v>
      </c>
      <c r="M199" s="16">
        <f t="shared" ca="1" si="21"/>
        <v>46105.637639351851</v>
      </c>
      <c r="R199" s="11"/>
    </row>
    <row r="200" spans="1:18" ht="15.75" customHeight="1" x14ac:dyDescent="0.3">
      <c r="A200" s="4" t="s">
        <v>8</v>
      </c>
      <c r="B200" s="4" t="s">
        <v>4</v>
      </c>
      <c r="C200" s="4" t="s">
        <v>7</v>
      </c>
      <c r="D200" s="4" t="s">
        <v>6</v>
      </c>
      <c r="E200" s="4">
        <v>997.61</v>
      </c>
      <c r="F200" s="4">
        <v>8</v>
      </c>
      <c r="G200" s="4">
        <f t="shared" si="19"/>
        <v>7980.88</v>
      </c>
      <c r="H200" s="8">
        <v>0.05</v>
      </c>
      <c r="I200" s="5">
        <v>45752</v>
      </c>
      <c r="J200" s="4">
        <v>379.09</v>
      </c>
      <c r="K200" s="10">
        <f t="shared" si="18"/>
        <v>7581.8359999999993</v>
      </c>
      <c r="L200" s="10">
        <f t="shared" si="20"/>
        <v>7202.7459999999992</v>
      </c>
      <c r="M200" s="16">
        <f t="shared" ca="1" si="21"/>
        <v>46105.637639351851</v>
      </c>
      <c r="R200" s="11"/>
    </row>
    <row r="201" spans="1:18" ht="15.75" customHeight="1" x14ac:dyDescent="0.3">
      <c r="A201" s="4" t="s">
        <v>5</v>
      </c>
      <c r="B201" s="4" t="s">
        <v>4</v>
      </c>
      <c r="C201" s="4" t="s">
        <v>3</v>
      </c>
      <c r="D201" s="4" t="s">
        <v>2</v>
      </c>
      <c r="E201" s="4">
        <v>928.32</v>
      </c>
      <c r="F201" s="4">
        <v>2</v>
      </c>
      <c r="G201" s="4">
        <f t="shared" si="19"/>
        <v>1856.64</v>
      </c>
      <c r="H201" s="8">
        <v>0.05</v>
      </c>
      <c r="I201" s="5">
        <v>45754</v>
      </c>
      <c r="J201" s="4">
        <v>440.95</v>
      </c>
      <c r="K201" s="10">
        <f t="shared" si="18"/>
        <v>1763.808</v>
      </c>
      <c r="L201" s="10">
        <f t="shared" si="20"/>
        <v>1322.8579999999999</v>
      </c>
      <c r="M201" s="16">
        <f t="shared" ca="1" si="21"/>
        <v>46105.637639351851</v>
      </c>
      <c r="R201" s="11"/>
    </row>
    <row r="202" spans="1:18" ht="15.75" customHeight="1" x14ac:dyDescent="0.3">
      <c r="R202" s="11"/>
    </row>
    <row r="203" spans="1:18" ht="15.75" customHeight="1" x14ac:dyDescent="0.3">
      <c r="R203" s="11"/>
    </row>
    <row r="204" spans="1:18" ht="15.75" customHeight="1" x14ac:dyDescent="0.3">
      <c r="R204" s="11"/>
    </row>
    <row r="205" spans="1:18" ht="15.75" customHeight="1" x14ac:dyDescent="0.3"/>
    <row r="206" spans="1:18" ht="15.75" customHeight="1" x14ac:dyDescent="0.3"/>
    <row r="207" spans="1:18" ht="15.75" customHeight="1" x14ac:dyDescent="0.3"/>
    <row r="208" spans="1:1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autoFilter ref="A1:M201" xr:uid="{BDDED9E0-F8FD-4F38-8788-0819A29CB3B3}"/>
  <mergeCells count="1">
    <mergeCell ref="P8:R8"/>
  </mergeCells>
  <conditionalFormatting sqref="K1:L1048576">
    <cfRule type="top10" dxfId="62" priority="4" rank="10"/>
  </conditionalFormatting>
  <conditionalFormatting sqref="R10:R21">
    <cfRule type="iconSet" priority="3">
      <iconSet iconSet="5Arrows">
        <cfvo type="percent" val="0"/>
        <cfvo type="percent" val="20"/>
        <cfvo type="percent" val="40"/>
        <cfvo type="percent" val="60"/>
        <cfvo type="percent" val="80"/>
      </iconSet>
    </cfRule>
  </conditionalFormatting>
  <pageMargins left="0.75" right="0.75" top="1" bottom="1" header="0" footer="0"/>
  <pageSetup orientation="landscape"/>
  <tableParts count="3">
    <tablePart r:id="rId1"/>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AC77B-0537-41F8-AAED-6ACF8C9131A1}">
  <dimension ref="A1:I22"/>
  <sheetViews>
    <sheetView workbookViewId="0">
      <selection activeCell="E6" sqref="E6"/>
    </sheetView>
  </sheetViews>
  <sheetFormatPr defaultRowHeight="14.4" x14ac:dyDescent="0.3"/>
  <cols>
    <col min="1" max="1" width="16.33203125" customWidth="1"/>
    <col min="2" max="2" width="14.5546875" customWidth="1"/>
    <col min="3" max="9" width="18.88671875" customWidth="1"/>
  </cols>
  <sheetData>
    <row r="1" spans="1:9" ht="15.6" x14ac:dyDescent="0.3">
      <c r="A1" s="22" t="s">
        <v>151</v>
      </c>
      <c r="B1" s="23"/>
      <c r="C1" s="23"/>
      <c r="D1" s="23"/>
      <c r="E1" s="23"/>
      <c r="F1" s="23"/>
      <c r="G1" s="23"/>
      <c r="H1" s="23"/>
      <c r="I1" s="23"/>
    </row>
    <row r="2" spans="1:9" ht="15.6" x14ac:dyDescent="0.3">
      <c r="A2" s="23"/>
      <c r="B2" s="23"/>
      <c r="C2" s="23"/>
      <c r="D2" s="23"/>
      <c r="E2" s="23"/>
      <c r="F2" s="23"/>
      <c r="G2" s="23"/>
      <c r="H2" s="23"/>
      <c r="I2" s="23"/>
    </row>
    <row r="3" spans="1:9" ht="15.6" x14ac:dyDescent="0.3">
      <c r="A3" s="23" t="s">
        <v>79</v>
      </c>
      <c r="B3" s="23"/>
      <c r="C3" s="23"/>
      <c r="D3" s="23"/>
      <c r="E3" s="23"/>
      <c r="F3" s="23"/>
      <c r="G3" s="23"/>
      <c r="H3" s="23"/>
      <c r="I3" s="23"/>
    </row>
    <row r="4" spans="1:9" ht="16.2" thickBot="1" x14ac:dyDescent="0.35">
      <c r="A4" s="23"/>
      <c r="B4" s="23"/>
      <c r="C4" s="23"/>
      <c r="D4" s="23"/>
      <c r="E4" s="23"/>
      <c r="F4" s="23"/>
      <c r="G4" s="23"/>
      <c r="H4" s="23"/>
      <c r="I4" s="23"/>
    </row>
    <row r="5" spans="1:9" ht="15.6" x14ac:dyDescent="0.3">
      <c r="A5" s="24" t="s">
        <v>80</v>
      </c>
      <c r="B5" s="24"/>
      <c r="C5" s="23"/>
      <c r="D5" s="23"/>
      <c r="E5" s="23"/>
      <c r="F5" s="23"/>
      <c r="G5" s="23"/>
      <c r="H5" s="23"/>
      <c r="I5" s="23"/>
    </row>
    <row r="6" spans="1:9" ht="15.6" x14ac:dyDescent="0.3">
      <c r="A6" s="25" t="s">
        <v>81</v>
      </c>
      <c r="B6" s="23">
        <v>0.77356566420146511</v>
      </c>
      <c r="C6" s="23"/>
      <c r="D6" s="23"/>
      <c r="E6" s="23"/>
      <c r="F6" s="23"/>
      <c r="G6" s="23"/>
      <c r="H6" s="23"/>
      <c r="I6" s="23"/>
    </row>
    <row r="7" spans="1:9" ht="15.6" x14ac:dyDescent="0.3">
      <c r="A7" s="25" t="s">
        <v>82</v>
      </c>
      <c r="B7" s="23">
        <v>0.59840383683145382</v>
      </c>
      <c r="C7" s="23"/>
      <c r="D7" s="23"/>
      <c r="E7" s="23"/>
      <c r="F7" s="23"/>
      <c r="G7" s="23"/>
      <c r="H7" s="23"/>
      <c r="I7" s="23"/>
    </row>
    <row r="8" spans="1:9" ht="15.6" x14ac:dyDescent="0.3">
      <c r="A8" s="25" t="s">
        <v>83</v>
      </c>
      <c r="B8" s="23">
        <v>0.59636527762755254</v>
      </c>
      <c r="C8" s="23"/>
      <c r="D8" s="23"/>
      <c r="E8" s="23"/>
      <c r="F8" s="23"/>
      <c r="G8" s="23"/>
      <c r="H8" s="23"/>
      <c r="I8" s="23"/>
    </row>
    <row r="9" spans="1:9" ht="15.6" x14ac:dyDescent="0.3">
      <c r="A9" s="25" t="s">
        <v>84</v>
      </c>
      <c r="B9" s="23">
        <v>86.471707018508098</v>
      </c>
      <c r="C9" s="23"/>
      <c r="D9" s="23"/>
      <c r="E9" s="23"/>
      <c r="F9" s="23"/>
      <c r="G9" s="23"/>
      <c r="H9" s="23"/>
      <c r="I9" s="23"/>
    </row>
    <row r="10" spans="1:9" ht="16.2" thickBot="1" x14ac:dyDescent="0.35">
      <c r="A10" s="26" t="s">
        <v>85</v>
      </c>
      <c r="B10" s="27">
        <v>199</v>
      </c>
      <c r="C10" s="23"/>
      <c r="D10" s="23"/>
      <c r="E10" s="23"/>
      <c r="F10" s="23"/>
      <c r="G10" s="23"/>
      <c r="H10" s="23"/>
      <c r="I10" s="23"/>
    </row>
    <row r="11" spans="1:9" ht="15.6" x14ac:dyDescent="0.3">
      <c r="A11" s="23"/>
      <c r="B11" s="23"/>
      <c r="C11" s="23"/>
      <c r="D11" s="23"/>
      <c r="E11" s="23"/>
      <c r="F11" s="23"/>
      <c r="G11" s="23"/>
      <c r="H11" s="23"/>
      <c r="I11" s="23"/>
    </row>
    <row r="12" spans="1:9" ht="16.2" thickBot="1" x14ac:dyDescent="0.35">
      <c r="A12" s="23" t="s">
        <v>86</v>
      </c>
      <c r="B12" s="23"/>
      <c r="C12" s="23"/>
      <c r="D12" s="23"/>
      <c r="E12" s="23"/>
      <c r="F12" s="23"/>
      <c r="G12" s="23"/>
      <c r="H12" s="23"/>
      <c r="I12" s="23"/>
    </row>
    <row r="13" spans="1:9" ht="15.6" x14ac:dyDescent="0.3">
      <c r="A13" s="28"/>
      <c r="B13" s="28" t="s">
        <v>91</v>
      </c>
      <c r="C13" s="28" t="s">
        <v>92</v>
      </c>
      <c r="D13" s="28" t="s">
        <v>93</v>
      </c>
      <c r="E13" s="28" t="s">
        <v>94</v>
      </c>
      <c r="F13" s="28" t="s">
        <v>95</v>
      </c>
      <c r="G13" s="23"/>
      <c r="H13" s="23"/>
      <c r="I13" s="23"/>
    </row>
    <row r="14" spans="1:9" ht="15.6" x14ac:dyDescent="0.3">
      <c r="A14" s="25" t="s">
        <v>87</v>
      </c>
      <c r="B14" s="23">
        <v>1</v>
      </c>
      <c r="C14" s="23">
        <v>2194922.0703649437</v>
      </c>
      <c r="D14" s="23">
        <v>2194922.0703649437</v>
      </c>
      <c r="E14" s="23">
        <v>293.54253518184368</v>
      </c>
      <c r="F14" s="23">
        <v>6.8782375878390769E-41</v>
      </c>
      <c r="G14" s="23"/>
      <c r="H14" s="23"/>
      <c r="I14" s="23"/>
    </row>
    <row r="15" spans="1:9" ht="15.6" x14ac:dyDescent="0.3">
      <c r="A15" s="25" t="s">
        <v>88</v>
      </c>
      <c r="B15" s="23">
        <v>197</v>
      </c>
      <c r="C15" s="23">
        <v>1473039.1545948565</v>
      </c>
      <c r="D15" s="23">
        <v>7477.3561146947031</v>
      </c>
      <c r="E15" s="23"/>
      <c r="F15" s="23"/>
      <c r="G15" s="23"/>
      <c r="H15" s="23"/>
      <c r="I15" s="23"/>
    </row>
    <row r="16" spans="1:9" ht="16.2" thickBot="1" x14ac:dyDescent="0.35">
      <c r="A16" s="26" t="s">
        <v>89</v>
      </c>
      <c r="B16" s="27">
        <v>198</v>
      </c>
      <c r="C16" s="27">
        <v>3667961.2249598</v>
      </c>
      <c r="D16" s="27"/>
      <c r="E16" s="27"/>
      <c r="F16" s="27"/>
      <c r="G16" s="23"/>
      <c r="H16" s="23"/>
      <c r="I16" s="23"/>
    </row>
    <row r="17" spans="1:9" ht="16.2" thickBot="1" x14ac:dyDescent="0.35">
      <c r="A17" s="23"/>
      <c r="B17" s="23"/>
      <c r="C17" s="23"/>
      <c r="D17" s="23"/>
      <c r="E17" s="23"/>
      <c r="F17" s="23"/>
      <c r="G17" s="23"/>
      <c r="H17" s="23"/>
      <c r="I17" s="23"/>
    </row>
    <row r="18" spans="1:9" ht="15.6" x14ac:dyDescent="0.3">
      <c r="A18" s="28"/>
      <c r="B18" s="28" t="s">
        <v>96</v>
      </c>
      <c r="C18" s="28" t="s">
        <v>84</v>
      </c>
      <c r="D18" s="28" t="s">
        <v>97</v>
      </c>
      <c r="E18" s="28" t="s">
        <v>98</v>
      </c>
      <c r="F18" s="28" t="s">
        <v>99</v>
      </c>
      <c r="G18" s="28" t="s">
        <v>100</v>
      </c>
      <c r="H18" s="28" t="s">
        <v>101</v>
      </c>
      <c r="I18" s="28" t="s">
        <v>102</v>
      </c>
    </row>
    <row r="19" spans="1:9" ht="15.6" x14ac:dyDescent="0.3">
      <c r="A19" s="25" t="s">
        <v>90</v>
      </c>
      <c r="B19" s="23">
        <v>-0.97824544662927337</v>
      </c>
      <c r="C19" s="23">
        <v>20.907197536053534</v>
      </c>
      <c r="D19" s="23">
        <v>-4.6789888742493228E-2</v>
      </c>
      <c r="E19" s="23">
        <v>0.96272808608450733</v>
      </c>
      <c r="F19" s="23">
        <v>-42.208891362546005</v>
      </c>
      <c r="G19" s="23">
        <v>40.252400469287458</v>
      </c>
      <c r="H19" s="23">
        <v>-42.208891362546005</v>
      </c>
      <c r="I19" s="23">
        <v>40.252400469287458</v>
      </c>
    </row>
    <row r="20" spans="1:9" ht="16.2" thickBot="1" x14ac:dyDescent="0.35">
      <c r="A20" s="26" t="s">
        <v>73</v>
      </c>
      <c r="B20" s="27">
        <v>0.35096067947030868</v>
      </c>
      <c r="C20" s="27">
        <v>2.0484385572447462E-2</v>
      </c>
      <c r="D20" s="27">
        <v>17.133083061196064</v>
      </c>
      <c r="E20" s="27">
        <v>6.8782375878393705E-41</v>
      </c>
      <c r="F20" s="27">
        <v>0.31056385216305021</v>
      </c>
      <c r="G20" s="27">
        <v>0.39135750677756714</v>
      </c>
      <c r="H20" s="27">
        <v>0.31056385216305021</v>
      </c>
      <c r="I20" s="27">
        <v>0.39135750677756714</v>
      </c>
    </row>
    <row r="21" spans="1:9" ht="15.6" x14ac:dyDescent="0.3">
      <c r="A21" s="23"/>
      <c r="B21" s="23"/>
      <c r="C21" s="23"/>
      <c r="D21" s="23"/>
      <c r="E21" s="23"/>
      <c r="F21" s="23"/>
      <c r="G21" s="23"/>
      <c r="H21" s="23"/>
      <c r="I21" s="23"/>
    </row>
    <row r="22" spans="1:9" ht="15.6" x14ac:dyDescent="0.3">
      <c r="A22" s="23"/>
      <c r="B22" s="23"/>
      <c r="C22" s="23"/>
      <c r="D22" s="23"/>
      <c r="E22" s="23"/>
      <c r="F22" s="23"/>
      <c r="G22" s="23"/>
      <c r="H22" s="23"/>
      <c r="I22" s="2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49F61-13A3-4ADD-B0D1-E87D59E13413}">
  <dimension ref="A1:H17"/>
  <sheetViews>
    <sheetView workbookViewId="0">
      <selection activeCell="N10" sqref="N10"/>
    </sheetView>
  </sheetViews>
  <sheetFormatPr defaultRowHeight="14.4" x14ac:dyDescent="0.3"/>
  <cols>
    <col min="1" max="1" width="24.77734375" customWidth="1"/>
    <col min="2" max="2" width="12.109375" bestFit="1" customWidth="1"/>
    <col min="4" max="4" width="19.6640625" bestFit="1" customWidth="1"/>
    <col min="5" max="5" width="9" bestFit="1" customWidth="1"/>
    <col min="7" max="7" width="17" customWidth="1"/>
    <col min="8" max="8" width="10.33203125" customWidth="1"/>
  </cols>
  <sheetData>
    <row r="1" spans="1:8" ht="15.6" x14ac:dyDescent="0.3">
      <c r="A1" s="45" t="s">
        <v>152</v>
      </c>
      <c r="B1" s="46"/>
      <c r="C1" s="46"/>
      <c r="D1" s="46"/>
      <c r="E1" s="46"/>
      <c r="F1" s="46"/>
      <c r="G1" s="46"/>
      <c r="H1" s="46"/>
    </row>
    <row r="2" spans="1:8" ht="16.2" thickBot="1" x14ac:dyDescent="0.35">
      <c r="A2" s="46"/>
      <c r="B2" s="46"/>
      <c r="C2" s="46"/>
      <c r="D2" s="46"/>
      <c r="E2" s="46"/>
      <c r="F2" s="46"/>
      <c r="G2" s="46"/>
      <c r="H2" s="46"/>
    </row>
    <row r="3" spans="1:8" ht="15.6" x14ac:dyDescent="0.3">
      <c r="A3" s="47" t="s">
        <v>115</v>
      </c>
      <c r="B3" s="47"/>
      <c r="C3" s="46"/>
      <c r="D3" s="47" t="s">
        <v>69</v>
      </c>
      <c r="E3" s="47"/>
      <c r="F3" s="46"/>
      <c r="G3" s="47" t="s">
        <v>73</v>
      </c>
      <c r="H3" s="47"/>
    </row>
    <row r="4" spans="1:8" ht="15.6" x14ac:dyDescent="0.3">
      <c r="A4" s="46"/>
      <c r="B4" s="46"/>
      <c r="C4" s="46"/>
      <c r="D4" s="46"/>
      <c r="E4" s="46"/>
      <c r="F4" s="46"/>
      <c r="G4" s="46"/>
      <c r="H4" s="46"/>
    </row>
    <row r="5" spans="1:8" ht="15.6" x14ac:dyDescent="0.3">
      <c r="A5" s="46" t="s">
        <v>103</v>
      </c>
      <c r="B5" s="46">
        <v>8788.0797587939669</v>
      </c>
      <c r="C5" s="46"/>
      <c r="D5" s="46" t="s">
        <v>103</v>
      </c>
      <c r="E5" s="46">
        <v>341.48472361809047</v>
      </c>
      <c r="F5" s="46"/>
      <c r="G5" s="46" t="s">
        <v>103</v>
      </c>
      <c r="H5" s="46">
        <v>975.78728643216039</v>
      </c>
    </row>
    <row r="6" spans="1:8" ht="15.6" x14ac:dyDescent="0.3">
      <c r="A6" s="46" t="s">
        <v>84</v>
      </c>
      <c r="B6" s="46">
        <v>412.99460595345431</v>
      </c>
      <c r="C6" s="46"/>
      <c r="D6" s="46" t="s">
        <v>84</v>
      </c>
      <c r="E6" s="46">
        <v>9.6483541158221815</v>
      </c>
      <c r="F6" s="46"/>
      <c r="G6" s="46" t="s">
        <v>84</v>
      </c>
      <c r="H6" s="46">
        <v>21.266301032131288</v>
      </c>
    </row>
    <row r="7" spans="1:8" ht="15.6" x14ac:dyDescent="0.3">
      <c r="A7" s="46" t="s">
        <v>104</v>
      </c>
      <c r="B7" s="46">
        <v>7459.43</v>
      </c>
      <c r="C7" s="46"/>
      <c r="D7" s="46" t="s">
        <v>104</v>
      </c>
      <c r="E7" s="46">
        <v>332.32</v>
      </c>
      <c r="F7" s="46"/>
      <c r="G7" s="46" t="s">
        <v>104</v>
      </c>
      <c r="H7" s="46">
        <v>973.26</v>
      </c>
    </row>
    <row r="8" spans="1:8" ht="15.6" x14ac:dyDescent="0.3">
      <c r="A8" s="46" t="s">
        <v>105</v>
      </c>
      <c r="B8" s="46" t="e">
        <v>#N/A</v>
      </c>
      <c r="C8" s="46"/>
      <c r="D8" s="46" t="s">
        <v>105</v>
      </c>
      <c r="E8" s="46" t="e">
        <v>#N/A</v>
      </c>
      <c r="F8" s="46"/>
      <c r="G8" s="46" t="s">
        <v>105</v>
      </c>
      <c r="H8" s="46" t="e">
        <v>#N/A</v>
      </c>
    </row>
    <row r="9" spans="1:8" ht="15.6" x14ac:dyDescent="0.3">
      <c r="A9" s="46" t="s">
        <v>106</v>
      </c>
      <c r="B9" s="46">
        <v>5826.0058672115283</v>
      </c>
      <c r="C9" s="46"/>
      <c r="D9" s="46" t="s">
        <v>106</v>
      </c>
      <c r="E9" s="46">
        <v>136.10678415022619</v>
      </c>
      <c r="F9" s="46"/>
      <c r="G9" s="46" t="s">
        <v>106</v>
      </c>
      <c r="H9" s="46">
        <v>299.9980939243722</v>
      </c>
    </row>
    <row r="10" spans="1:8" ht="15.6" x14ac:dyDescent="0.3">
      <c r="A10" s="46" t="s">
        <v>107</v>
      </c>
      <c r="B10" s="46">
        <v>33942344.364783153</v>
      </c>
      <c r="C10" s="46"/>
      <c r="D10" s="46" t="s">
        <v>107</v>
      </c>
      <c r="E10" s="46">
        <v>18525.056691716265</v>
      </c>
      <c r="F10" s="46"/>
      <c r="G10" s="46" t="s">
        <v>107</v>
      </c>
      <c r="H10" s="46">
        <v>89998.856358256453</v>
      </c>
    </row>
    <row r="11" spans="1:8" ht="15.6" x14ac:dyDescent="0.3">
      <c r="A11" s="46" t="s">
        <v>108</v>
      </c>
      <c r="B11" s="46">
        <v>-1.1351355824270382E-2</v>
      </c>
      <c r="C11" s="46"/>
      <c r="D11" s="46" t="s">
        <v>108</v>
      </c>
      <c r="E11" s="46">
        <v>0.24746466034092496</v>
      </c>
      <c r="F11" s="46"/>
      <c r="G11" s="46" t="s">
        <v>108</v>
      </c>
      <c r="H11" s="46">
        <v>-0.10144708104707512</v>
      </c>
    </row>
    <row r="12" spans="1:8" ht="15.6" x14ac:dyDescent="0.3">
      <c r="A12" s="46" t="s">
        <v>109</v>
      </c>
      <c r="B12" s="46">
        <v>0.72288423141529701</v>
      </c>
      <c r="C12" s="46"/>
      <c r="D12" s="46" t="s">
        <v>109</v>
      </c>
      <c r="E12" s="46">
        <v>0.57090181327812994</v>
      </c>
      <c r="F12" s="46"/>
      <c r="G12" s="46" t="s">
        <v>109</v>
      </c>
      <c r="H12" s="46">
        <v>0.14954551654117604</v>
      </c>
    </row>
    <row r="13" spans="1:8" ht="15.6" x14ac:dyDescent="0.3">
      <c r="A13" s="46" t="s">
        <v>110</v>
      </c>
      <c r="B13" s="46">
        <v>27188.083999999999</v>
      </c>
      <c r="C13" s="46"/>
      <c r="D13" s="46" t="s">
        <v>110</v>
      </c>
      <c r="E13" s="46">
        <v>704.83</v>
      </c>
      <c r="F13" s="46"/>
      <c r="G13" s="46" t="s">
        <v>110</v>
      </c>
      <c r="H13" s="46">
        <v>1665.15</v>
      </c>
    </row>
    <row r="14" spans="1:8" ht="15.6" x14ac:dyDescent="0.3">
      <c r="A14" s="46" t="s">
        <v>111</v>
      </c>
      <c r="B14" s="46">
        <v>247.53600000000003</v>
      </c>
      <c r="C14" s="46"/>
      <c r="D14" s="46" t="s">
        <v>111</v>
      </c>
      <c r="E14" s="46">
        <v>64.63</v>
      </c>
      <c r="F14" s="46"/>
      <c r="G14" s="46" t="s">
        <v>111</v>
      </c>
      <c r="H14" s="46">
        <v>258.51</v>
      </c>
    </row>
    <row r="15" spans="1:8" ht="15.6" x14ac:dyDescent="0.3">
      <c r="A15" s="46" t="s">
        <v>112</v>
      </c>
      <c r="B15" s="46">
        <v>27435.62</v>
      </c>
      <c r="C15" s="46"/>
      <c r="D15" s="46" t="s">
        <v>112</v>
      </c>
      <c r="E15" s="46">
        <v>769.46</v>
      </c>
      <c r="F15" s="46"/>
      <c r="G15" s="46" t="s">
        <v>112</v>
      </c>
      <c r="H15" s="46">
        <v>1923.66</v>
      </c>
    </row>
    <row r="16" spans="1:8" ht="15.6" x14ac:dyDescent="0.3">
      <c r="A16" s="46" t="s">
        <v>113</v>
      </c>
      <c r="B16" s="46">
        <v>1748827.8719999995</v>
      </c>
      <c r="C16" s="46"/>
      <c r="D16" s="46" t="s">
        <v>113</v>
      </c>
      <c r="E16" s="46">
        <v>67955.460000000006</v>
      </c>
      <c r="F16" s="46"/>
      <c r="G16" s="46" t="s">
        <v>113</v>
      </c>
      <c r="H16" s="46">
        <v>194181.66999999993</v>
      </c>
    </row>
    <row r="17" spans="1:8" ht="16.2" thickBot="1" x14ac:dyDescent="0.35">
      <c r="A17" s="48" t="s">
        <v>114</v>
      </c>
      <c r="B17" s="48">
        <v>199</v>
      </c>
      <c r="C17" s="46"/>
      <c r="D17" s="48" t="s">
        <v>114</v>
      </c>
      <c r="E17" s="48">
        <v>199</v>
      </c>
      <c r="F17" s="46"/>
      <c r="G17" s="48" t="s">
        <v>114</v>
      </c>
      <c r="H17" s="48">
        <v>199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235EE-8A83-4288-A7BE-AE83EDA199DE}">
  <dimension ref="A2:Q24"/>
  <sheetViews>
    <sheetView zoomScaleNormal="100" workbookViewId="0">
      <selection activeCell="D2" sqref="D2:Q24"/>
    </sheetView>
  </sheetViews>
  <sheetFormatPr defaultRowHeight="14.4" x14ac:dyDescent="0.3"/>
  <cols>
    <col min="1" max="1" width="13.109375" bestFit="1" customWidth="1"/>
    <col min="2" max="2" width="11.6640625" bestFit="1" customWidth="1"/>
  </cols>
  <sheetData>
    <row r="2" spans="1:17" x14ac:dyDescent="0.3">
      <c r="D2" s="18" t="s">
        <v>154</v>
      </c>
      <c r="E2" s="18"/>
      <c r="F2" s="18"/>
      <c r="G2" s="18"/>
      <c r="H2" s="18"/>
      <c r="I2" s="18"/>
      <c r="J2" s="18"/>
      <c r="K2" s="18"/>
      <c r="L2" s="18"/>
      <c r="M2" s="18"/>
      <c r="N2" s="18"/>
      <c r="O2" s="18"/>
      <c r="P2" s="18"/>
      <c r="Q2" s="18"/>
    </row>
    <row r="3" spans="1:17" x14ac:dyDescent="0.3">
      <c r="A3" s="49" t="s">
        <v>116</v>
      </c>
      <c r="B3" s="49" t="s">
        <v>131</v>
      </c>
      <c r="D3" s="18"/>
      <c r="E3" s="18"/>
      <c r="F3" s="18"/>
      <c r="G3" s="18"/>
      <c r="H3" s="18"/>
      <c r="I3" s="18"/>
      <c r="J3" s="18"/>
      <c r="K3" s="18"/>
      <c r="L3" s="18"/>
      <c r="M3" s="18"/>
      <c r="N3" s="18"/>
      <c r="O3" s="18"/>
      <c r="P3" s="18"/>
      <c r="Q3" s="18"/>
    </row>
    <row r="4" spans="1:17" x14ac:dyDescent="0.3">
      <c r="A4" s="13" t="s">
        <v>6</v>
      </c>
      <c r="B4" s="21">
        <v>47002.460000000006</v>
      </c>
      <c r="D4" s="18"/>
      <c r="E4" s="18"/>
      <c r="F4" s="18"/>
      <c r="G4" s="18"/>
      <c r="H4" s="18"/>
      <c r="I4" s="18"/>
      <c r="J4" s="18"/>
      <c r="K4" s="18"/>
      <c r="L4" s="18"/>
      <c r="M4" s="18"/>
      <c r="N4" s="18"/>
      <c r="O4" s="18"/>
      <c r="P4" s="18"/>
      <c r="Q4" s="18"/>
    </row>
    <row r="5" spans="1:17" x14ac:dyDescent="0.3">
      <c r="A5" s="13" t="s">
        <v>2</v>
      </c>
      <c r="B5" s="21">
        <v>41927.589999999989</v>
      </c>
      <c r="D5" s="18"/>
      <c r="E5" s="18"/>
      <c r="F5" s="18"/>
      <c r="G5" s="18"/>
      <c r="H5" s="18"/>
      <c r="I5" s="18"/>
      <c r="J5" s="18"/>
      <c r="K5" s="18"/>
      <c r="L5" s="18"/>
      <c r="M5" s="18"/>
      <c r="N5" s="18"/>
      <c r="O5" s="18"/>
      <c r="P5" s="18"/>
      <c r="Q5" s="18"/>
    </row>
    <row r="6" spans="1:17" x14ac:dyDescent="0.3">
      <c r="A6" s="13" t="s">
        <v>30</v>
      </c>
      <c r="B6" s="21">
        <v>41044.000000000007</v>
      </c>
      <c r="D6" s="18"/>
      <c r="E6" s="18"/>
      <c r="F6" s="18"/>
      <c r="G6" s="18"/>
      <c r="H6" s="18"/>
      <c r="I6" s="18"/>
      <c r="J6" s="18"/>
      <c r="K6" s="18"/>
      <c r="L6" s="18"/>
      <c r="M6" s="18"/>
      <c r="N6" s="18"/>
      <c r="O6" s="18"/>
      <c r="P6" s="18"/>
      <c r="Q6" s="18"/>
    </row>
    <row r="7" spans="1:17" x14ac:dyDescent="0.3">
      <c r="A7" s="13" t="s">
        <v>18</v>
      </c>
      <c r="B7" s="21">
        <v>36612.89</v>
      </c>
      <c r="D7" s="18"/>
      <c r="E7" s="18"/>
      <c r="F7" s="18"/>
      <c r="G7" s="18"/>
      <c r="H7" s="18"/>
      <c r="I7" s="18"/>
      <c r="J7" s="18"/>
      <c r="K7" s="18"/>
      <c r="L7" s="18"/>
      <c r="M7" s="18"/>
      <c r="N7" s="18"/>
      <c r="O7" s="18"/>
      <c r="P7" s="18"/>
      <c r="Q7" s="18"/>
    </row>
    <row r="8" spans="1:17" x14ac:dyDescent="0.3">
      <c r="A8" s="13" t="s">
        <v>9</v>
      </c>
      <c r="B8" s="21">
        <v>28630.819999999992</v>
      </c>
      <c r="D8" s="18"/>
      <c r="E8" s="18"/>
      <c r="F8" s="18"/>
      <c r="G8" s="18"/>
      <c r="H8" s="18"/>
      <c r="I8" s="18"/>
      <c r="J8" s="18"/>
      <c r="K8" s="18"/>
      <c r="L8" s="18"/>
      <c r="M8" s="18"/>
      <c r="N8" s="18"/>
      <c r="O8" s="18"/>
      <c r="P8" s="18"/>
      <c r="Q8" s="18"/>
    </row>
    <row r="9" spans="1:17" x14ac:dyDescent="0.3">
      <c r="A9" s="50" t="s">
        <v>117</v>
      </c>
      <c r="B9" s="51">
        <v>195217.76</v>
      </c>
      <c r="D9" s="18"/>
      <c r="E9" s="18"/>
      <c r="F9" s="18"/>
      <c r="G9" s="18"/>
      <c r="H9" s="18"/>
      <c r="I9" s="18"/>
      <c r="J9" s="18"/>
      <c r="K9" s="18"/>
      <c r="L9" s="18"/>
      <c r="M9" s="18"/>
      <c r="N9" s="18"/>
      <c r="O9" s="18"/>
      <c r="P9" s="18"/>
      <c r="Q9" s="18"/>
    </row>
    <row r="10" spans="1:17" x14ac:dyDescent="0.3">
      <c r="D10" s="18"/>
      <c r="E10" s="18"/>
      <c r="F10" s="18"/>
      <c r="G10" s="18"/>
      <c r="H10" s="18"/>
      <c r="I10" s="18"/>
      <c r="J10" s="18"/>
      <c r="K10" s="18"/>
      <c r="L10" s="18"/>
      <c r="M10" s="18"/>
      <c r="N10" s="18"/>
      <c r="O10" s="18"/>
      <c r="P10" s="18"/>
      <c r="Q10" s="18"/>
    </row>
    <row r="11" spans="1:17" x14ac:dyDescent="0.3">
      <c r="D11" s="18"/>
      <c r="E11" s="18"/>
      <c r="F11" s="18"/>
      <c r="G11" s="18"/>
      <c r="H11" s="18"/>
      <c r="I11" s="18"/>
      <c r="J11" s="18"/>
      <c r="K11" s="18"/>
      <c r="L11" s="18"/>
      <c r="M11" s="18"/>
      <c r="N11" s="18"/>
      <c r="O11" s="18"/>
      <c r="P11" s="18"/>
      <c r="Q11" s="18"/>
    </row>
    <row r="12" spans="1:17" x14ac:dyDescent="0.3">
      <c r="D12" s="18"/>
      <c r="E12" s="18"/>
      <c r="F12" s="18"/>
      <c r="G12" s="18"/>
      <c r="H12" s="18"/>
      <c r="I12" s="18"/>
      <c r="J12" s="18"/>
      <c r="K12" s="18"/>
      <c r="L12" s="18"/>
      <c r="M12" s="18"/>
      <c r="N12" s="18"/>
      <c r="O12" s="18"/>
      <c r="P12" s="18"/>
      <c r="Q12" s="18"/>
    </row>
    <row r="13" spans="1:17" x14ac:dyDescent="0.3">
      <c r="D13" s="18"/>
      <c r="E13" s="18"/>
      <c r="F13" s="18"/>
      <c r="G13" s="18"/>
      <c r="H13" s="18"/>
      <c r="I13" s="18"/>
      <c r="J13" s="18"/>
      <c r="K13" s="18"/>
      <c r="L13" s="18"/>
      <c r="M13" s="18"/>
      <c r="N13" s="18"/>
      <c r="O13" s="18"/>
      <c r="P13" s="18"/>
      <c r="Q13" s="18"/>
    </row>
    <row r="14" spans="1:17" x14ac:dyDescent="0.3">
      <c r="D14" s="18"/>
      <c r="E14" s="18"/>
      <c r="F14" s="18"/>
      <c r="G14" s="18"/>
      <c r="H14" s="18"/>
      <c r="I14" s="18"/>
      <c r="J14" s="18"/>
      <c r="K14" s="18"/>
      <c r="L14" s="18"/>
      <c r="M14" s="18"/>
      <c r="N14" s="18"/>
      <c r="O14" s="18"/>
      <c r="P14" s="18"/>
      <c r="Q14" s="18"/>
    </row>
    <row r="15" spans="1:17" x14ac:dyDescent="0.3">
      <c r="D15" s="18"/>
      <c r="E15" s="18"/>
      <c r="F15" s="18"/>
      <c r="G15" s="18"/>
      <c r="H15" s="18"/>
      <c r="I15" s="18"/>
      <c r="J15" s="18"/>
      <c r="K15" s="18"/>
      <c r="L15" s="18"/>
      <c r="M15" s="18"/>
      <c r="N15" s="18"/>
      <c r="O15" s="18"/>
      <c r="P15" s="18"/>
      <c r="Q15" s="18"/>
    </row>
    <row r="16" spans="1:17" x14ac:dyDescent="0.3">
      <c r="D16" s="18"/>
      <c r="E16" s="18"/>
      <c r="F16" s="18"/>
      <c r="G16" s="18"/>
      <c r="H16" s="18"/>
      <c r="I16" s="18"/>
      <c r="J16" s="18"/>
      <c r="K16" s="18"/>
      <c r="L16" s="18"/>
      <c r="M16" s="18"/>
      <c r="N16" s="18"/>
      <c r="O16" s="18"/>
      <c r="P16" s="18"/>
      <c r="Q16" s="18"/>
    </row>
    <row r="17" spans="4:17" x14ac:dyDescent="0.3">
      <c r="D17" s="18"/>
      <c r="E17" s="18"/>
      <c r="F17" s="18"/>
      <c r="G17" s="18"/>
      <c r="H17" s="18"/>
      <c r="I17" s="18"/>
      <c r="J17" s="18"/>
      <c r="K17" s="18"/>
      <c r="L17" s="18"/>
      <c r="M17" s="18"/>
      <c r="N17" s="18"/>
      <c r="O17" s="18"/>
      <c r="P17" s="18"/>
      <c r="Q17" s="18"/>
    </row>
    <row r="18" spans="4:17" x14ac:dyDescent="0.3">
      <c r="D18" s="18"/>
      <c r="E18" s="18"/>
      <c r="F18" s="18"/>
      <c r="G18" s="18"/>
      <c r="H18" s="18"/>
      <c r="I18" s="18"/>
      <c r="J18" s="18"/>
      <c r="K18" s="18"/>
      <c r="L18" s="18"/>
      <c r="M18" s="18"/>
      <c r="N18" s="18"/>
      <c r="O18" s="18"/>
      <c r="P18" s="18"/>
      <c r="Q18" s="18"/>
    </row>
    <row r="19" spans="4:17" x14ac:dyDescent="0.3">
      <c r="D19" s="18"/>
      <c r="E19" s="18"/>
      <c r="F19" s="18"/>
      <c r="G19" s="18"/>
      <c r="H19" s="18"/>
      <c r="I19" s="18"/>
      <c r="J19" s="18"/>
      <c r="K19" s="18"/>
      <c r="L19" s="18"/>
      <c r="M19" s="18"/>
      <c r="N19" s="18"/>
      <c r="O19" s="18"/>
      <c r="P19" s="18"/>
      <c r="Q19" s="18"/>
    </row>
    <row r="20" spans="4:17" x14ac:dyDescent="0.3">
      <c r="D20" s="18"/>
      <c r="E20" s="18"/>
      <c r="F20" s="18"/>
      <c r="G20" s="18"/>
      <c r="H20" s="18"/>
      <c r="I20" s="18"/>
      <c r="J20" s="18"/>
      <c r="K20" s="18"/>
      <c r="L20" s="18"/>
      <c r="M20" s="18"/>
      <c r="N20" s="18"/>
      <c r="O20" s="18"/>
      <c r="P20" s="18"/>
      <c r="Q20" s="18"/>
    </row>
    <row r="21" spans="4:17" x14ac:dyDescent="0.3">
      <c r="D21" s="18"/>
      <c r="E21" s="18"/>
      <c r="F21" s="18"/>
      <c r="G21" s="18"/>
      <c r="H21" s="18"/>
      <c r="I21" s="18"/>
      <c r="J21" s="18"/>
      <c r="K21" s="18"/>
      <c r="L21" s="18"/>
      <c r="M21" s="18"/>
      <c r="N21" s="18"/>
      <c r="O21" s="18"/>
      <c r="P21" s="18"/>
      <c r="Q21" s="18"/>
    </row>
    <row r="22" spans="4:17" x14ac:dyDescent="0.3">
      <c r="D22" s="18"/>
      <c r="E22" s="18"/>
      <c r="F22" s="18"/>
      <c r="G22" s="18"/>
      <c r="H22" s="18"/>
      <c r="I22" s="18"/>
      <c r="J22" s="18"/>
      <c r="K22" s="18"/>
      <c r="L22" s="18"/>
      <c r="M22" s="18"/>
      <c r="N22" s="18"/>
      <c r="O22" s="18"/>
      <c r="P22" s="18"/>
      <c r="Q22" s="18"/>
    </row>
    <row r="23" spans="4:17" x14ac:dyDescent="0.3">
      <c r="D23" s="18"/>
      <c r="E23" s="18"/>
      <c r="F23" s="18"/>
      <c r="G23" s="18"/>
      <c r="H23" s="18"/>
      <c r="I23" s="18"/>
      <c r="J23" s="18"/>
      <c r="K23" s="18"/>
      <c r="L23" s="18"/>
      <c r="M23" s="18"/>
      <c r="N23" s="18"/>
      <c r="O23" s="18"/>
      <c r="P23" s="18"/>
      <c r="Q23" s="18"/>
    </row>
    <row r="24" spans="4:17" x14ac:dyDescent="0.3">
      <c r="D24" s="18"/>
      <c r="E24" s="18"/>
      <c r="F24" s="18"/>
      <c r="G24" s="18"/>
      <c r="H24" s="18"/>
      <c r="I24" s="18"/>
      <c r="J24" s="18"/>
      <c r="K24" s="18"/>
      <c r="L24" s="18"/>
      <c r="M24" s="18"/>
      <c r="N24" s="18"/>
      <c r="O24" s="18"/>
      <c r="P24" s="18"/>
      <c r="Q24" s="18"/>
    </row>
  </sheetData>
  <mergeCells count="1">
    <mergeCell ref="D2:Q24"/>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0426E-E7BE-4902-8B15-FC2105DD3275}">
  <dimension ref="A2:S21"/>
  <sheetViews>
    <sheetView topLeftCell="B1" workbookViewId="0">
      <selection activeCell="B10" sqref="B10:G10"/>
    </sheetView>
  </sheetViews>
  <sheetFormatPr defaultRowHeight="14.4" x14ac:dyDescent="0.3"/>
  <cols>
    <col min="1" max="1" width="12.5546875" bestFit="1" customWidth="1"/>
    <col min="2" max="2" width="15.5546875" bestFit="1" customWidth="1"/>
    <col min="3" max="3" width="9" bestFit="1" customWidth="1"/>
    <col min="4" max="4" width="10" bestFit="1" customWidth="1"/>
    <col min="5" max="5" width="9" bestFit="1" customWidth="1"/>
    <col min="6" max="6" width="13.5546875" bestFit="1" customWidth="1"/>
    <col min="7" max="7" width="10.77734375" bestFit="1" customWidth="1"/>
    <col min="9" max="9" width="12.33203125" bestFit="1" customWidth="1"/>
  </cols>
  <sheetData>
    <row r="2" spans="1:19" x14ac:dyDescent="0.3">
      <c r="A2" s="20"/>
      <c r="B2" s="20"/>
      <c r="C2" s="20"/>
      <c r="D2" s="20"/>
      <c r="E2" s="20"/>
      <c r="F2" s="20"/>
      <c r="I2" s="19"/>
      <c r="J2" s="19"/>
      <c r="K2" s="19"/>
      <c r="L2" s="19"/>
      <c r="M2" s="19"/>
      <c r="N2" s="19"/>
      <c r="O2" s="19"/>
      <c r="P2" s="19"/>
      <c r="Q2" s="19"/>
      <c r="R2" s="19"/>
      <c r="S2" s="19"/>
    </row>
    <row r="3" spans="1:19" x14ac:dyDescent="0.3">
      <c r="A3" s="12" t="s">
        <v>131</v>
      </c>
      <c r="B3" s="49" t="s">
        <v>141</v>
      </c>
      <c r="C3" s="49"/>
      <c r="D3" s="49"/>
      <c r="E3" s="49"/>
      <c r="F3" s="49"/>
      <c r="G3" s="49"/>
      <c r="I3" s="19"/>
      <c r="J3" s="19"/>
      <c r="K3" s="19"/>
      <c r="L3" s="19"/>
      <c r="M3" s="19"/>
      <c r="N3" s="19"/>
      <c r="O3" s="19"/>
      <c r="P3" s="19"/>
      <c r="Q3" s="19"/>
      <c r="R3" s="19"/>
      <c r="S3" s="19"/>
    </row>
    <row r="4" spans="1:19" x14ac:dyDescent="0.3">
      <c r="A4" s="12" t="s">
        <v>116</v>
      </c>
      <c r="B4" s="49" t="s">
        <v>6</v>
      </c>
      <c r="C4" s="49" t="s">
        <v>2</v>
      </c>
      <c r="D4" s="49" t="s">
        <v>30</v>
      </c>
      <c r="E4" s="49" t="s">
        <v>18</v>
      </c>
      <c r="F4" s="49" t="s">
        <v>9</v>
      </c>
      <c r="G4" s="49" t="s">
        <v>117</v>
      </c>
      <c r="I4" s="19"/>
      <c r="J4" s="19"/>
      <c r="K4" s="19"/>
      <c r="L4" s="19"/>
      <c r="M4" s="19"/>
      <c r="N4" s="19"/>
      <c r="O4" s="19"/>
      <c r="P4" s="19"/>
      <c r="Q4" s="19"/>
      <c r="R4" s="19"/>
      <c r="S4" s="19"/>
    </row>
    <row r="5" spans="1:19" x14ac:dyDescent="0.3">
      <c r="A5" s="13" t="s">
        <v>15</v>
      </c>
      <c r="B5" s="21">
        <v>11297.150000000001</v>
      </c>
      <c r="C5" s="21">
        <v>12200.26</v>
      </c>
      <c r="D5" s="21">
        <v>6621.24</v>
      </c>
      <c r="E5" s="21">
        <v>4876.96</v>
      </c>
      <c r="F5" s="21">
        <v>8472.7199999999993</v>
      </c>
      <c r="G5" s="21">
        <v>43468.33</v>
      </c>
      <c r="I5" s="19"/>
      <c r="J5" s="19"/>
      <c r="K5" s="19"/>
      <c r="L5" s="19"/>
      <c r="M5" s="19"/>
      <c r="N5" s="19"/>
      <c r="O5" s="19"/>
      <c r="P5" s="19"/>
      <c r="Q5" s="19"/>
      <c r="R5" s="19"/>
      <c r="S5" s="19"/>
    </row>
    <row r="6" spans="1:19" x14ac:dyDescent="0.3">
      <c r="A6" s="13" t="s">
        <v>7</v>
      </c>
      <c r="B6" s="21">
        <v>11389.090000000002</v>
      </c>
      <c r="C6" s="21">
        <v>2401.4499999999998</v>
      </c>
      <c r="D6" s="21">
        <v>2869.54</v>
      </c>
      <c r="E6" s="21">
        <v>7592.3399999999992</v>
      </c>
      <c r="F6" s="21">
        <v>8189.2200000000012</v>
      </c>
      <c r="G6" s="21">
        <v>32441.640000000003</v>
      </c>
      <c r="I6" s="19"/>
      <c r="J6" s="19"/>
      <c r="K6" s="19"/>
      <c r="L6" s="19"/>
      <c r="M6" s="19"/>
      <c r="N6" s="19"/>
      <c r="O6" s="19"/>
      <c r="P6" s="19"/>
      <c r="Q6" s="19"/>
      <c r="R6" s="19"/>
      <c r="S6" s="19"/>
    </row>
    <row r="7" spans="1:19" x14ac:dyDescent="0.3">
      <c r="A7" s="13" t="s">
        <v>23</v>
      </c>
      <c r="B7" s="21">
        <v>8037.0100000000011</v>
      </c>
      <c r="C7" s="21">
        <v>8422.82</v>
      </c>
      <c r="D7" s="21">
        <v>8191.7099999999991</v>
      </c>
      <c r="E7" s="21">
        <v>6978.08</v>
      </c>
      <c r="F7" s="21">
        <v>3345.8</v>
      </c>
      <c r="G7" s="21">
        <v>34975.420000000006</v>
      </c>
      <c r="I7" s="19"/>
      <c r="J7" s="19"/>
      <c r="K7" s="19"/>
      <c r="L7" s="19"/>
      <c r="M7" s="19"/>
      <c r="N7" s="19"/>
      <c r="O7" s="19"/>
      <c r="P7" s="19"/>
      <c r="Q7" s="19"/>
      <c r="R7" s="19"/>
      <c r="S7" s="19"/>
    </row>
    <row r="8" spans="1:19" x14ac:dyDescent="0.3">
      <c r="A8" s="13" t="s">
        <v>3</v>
      </c>
      <c r="B8" s="21">
        <v>9588.0400000000009</v>
      </c>
      <c r="C8" s="21">
        <v>8393.630000000001</v>
      </c>
      <c r="D8" s="21">
        <v>11989.070000000003</v>
      </c>
      <c r="E8" s="21">
        <v>7982.73</v>
      </c>
      <c r="F8" s="21">
        <v>2295.3199999999997</v>
      </c>
      <c r="G8" s="21">
        <v>40248.79</v>
      </c>
      <c r="I8" s="19"/>
      <c r="J8" s="19"/>
      <c r="K8" s="19"/>
      <c r="L8" s="19"/>
      <c r="M8" s="19"/>
      <c r="N8" s="19"/>
      <c r="O8" s="19"/>
      <c r="P8" s="19"/>
      <c r="Q8" s="19"/>
      <c r="R8" s="19"/>
      <c r="S8" s="19"/>
    </row>
    <row r="9" spans="1:19" x14ac:dyDescent="0.3">
      <c r="A9" s="13" t="s">
        <v>10</v>
      </c>
      <c r="B9" s="21">
        <v>6691.17</v>
      </c>
      <c r="C9" s="21">
        <v>10509.429999999998</v>
      </c>
      <c r="D9" s="21">
        <v>11372.44</v>
      </c>
      <c r="E9" s="21">
        <v>9182.7800000000007</v>
      </c>
      <c r="F9" s="21">
        <v>6327.76</v>
      </c>
      <c r="G9" s="21">
        <v>44083.58</v>
      </c>
      <c r="I9" s="19"/>
      <c r="J9" s="19"/>
      <c r="K9" s="19"/>
      <c r="L9" s="19"/>
      <c r="M9" s="19"/>
      <c r="N9" s="19"/>
      <c r="O9" s="19"/>
      <c r="P9" s="19"/>
      <c r="Q9" s="19"/>
      <c r="R9" s="19"/>
      <c r="S9" s="19"/>
    </row>
    <row r="10" spans="1:19" x14ac:dyDescent="0.3">
      <c r="A10" s="13" t="s">
        <v>117</v>
      </c>
      <c r="B10" s="51">
        <v>47002.460000000006</v>
      </c>
      <c r="C10" s="51">
        <v>41927.589999999997</v>
      </c>
      <c r="D10" s="51">
        <v>41044</v>
      </c>
      <c r="E10" s="51">
        <v>36612.89</v>
      </c>
      <c r="F10" s="51">
        <v>28630.82</v>
      </c>
      <c r="G10" s="51">
        <v>195217.76</v>
      </c>
      <c r="I10" s="19"/>
      <c r="J10" s="19"/>
      <c r="K10" s="19"/>
      <c r="L10" s="19"/>
      <c r="M10" s="19"/>
      <c r="N10" s="19"/>
      <c r="O10" s="19"/>
      <c r="P10" s="19"/>
      <c r="Q10" s="19"/>
      <c r="R10" s="19"/>
      <c r="S10" s="19"/>
    </row>
    <row r="11" spans="1:19" x14ac:dyDescent="0.3">
      <c r="I11" s="19"/>
      <c r="J11" s="19"/>
      <c r="K11" s="19"/>
      <c r="L11" s="19"/>
      <c r="M11" s="19"/>
      <c r="N11" s="19"/>
      <c r="O11" s="19"/>
      <c r="P11" s="19"/>
      <c r="Q11" s="19"/>
      <c r="R11" s="19"/>
      <c r="S11" s="19"/>
    </row>
    <row r="12" spans="1:19" x14ac:dyDescent="0.3">
      <c r="G12" s="17">
        <f>GETPIVOTDATA("Sales",$A$3)</f>
        <v>195217.76</v>
      </c>
      <c r="I12" s="19"/>
      <c r="J12" s="19"/>
      <c r="K12" s="19"/>
      <c r="L12" s="19"/>
      <c r="M12" s="19"/>
      <c r="N12" s="19"/>
      <c r="O12" s="19"/>
      <c r="P12" s="19"/>
      <c r="Q12" s="19"/>
      <c r="R12" s="19"/>
      <c r="S12" s="19"/>
    </row>
    <row r="13" spans="1:19" x14ac:dyDescent="0.3">
      <c r="I13" s="19"/>
      <c r="J13" s="19"/>
      <c r="K13" s="19"/>
      <c r="L13" s="19"/>
      <c r="M13" s="19"/>
      <c r="N13" s="19"/>
      <c r="O13" s="19"/>
      <c r="P13" s="19"/>
      <c r="Q13" s="19"/>
      <c r="R13" s="19"/>
      <c r="S13" s="19"/>
    </row>
    <row r="14" spans="1:19" x14ac:dyDescent="0.3">
      <c r="I14" s="19"/>
      <c r="J14" s="19"/>
      <c r="K14" s="19"/>
      <c r="L14" s="19"/>
      <c r="M14" s="19"/>
      <c r="N14" s="19"/>
      <c r="O14" s="19"/>
      <c r="P14" s="19"/>
      <c r="Q14" s="19"/>
      <c r="R14" s="19"/>
      <c r="S14" s="19"/>
    </row>
    <row r="15" spans="1:19" x14ac:dyDescent="0.3">
      <c r="I15" s="19"/>
      <c r="J15" s="19"/>
      <c r="K15" s="19"/>
      <c r="L15" s="19"/>
      <c r="M15" s="19"/>
      <c r="N15" s="19"/>
      <c r="O15" s="19"/>
      <c r="P15" s="19"/>
      <c r="Q15" s="19"/>
      <c r="R15" s="19"/>
      <c r="S15" s="19"/>
    </row>
    <row r="16" spans="1:19" x14ac:dyDescent="0.3">
      <c r="I16" s="19"/>
      <c r="J16" s="19"/>
      <c r="K16" s="19"/>
      <c r="L16" s="19"/>
      <c r="M16" s="19"/>
      <c r="N16" s="19"/>
      <c r="O16" s="19"/>
      <c r="P16" s="19"/>
      <c r="Q16" s="19"/>
      <c r="R16" s="19"/>
      <c r="S16" s="19"/>
    </row>
    <row r="17" spans="9:19" x14ac:dyDescent="0.3">
      <c r="I17" s="19"/>
      <c r="J17" s="19"/>
      <c r="K17" s="19"/>
      <c r="L17" s="19"/>
      <c r="M17" s="19"/>
      <c r="N17" s="19"/>
      <c r="O17" s="19"/>
      <c r="P17" s="19"/>
      <c r="Q17" s="19"/>
      <c r="R17" s="19"/>
      <c r="S17" s="19"/>
    </row>
    <row r="18" spans="9:19" x14ac:dyDescent="0.3">
      <c r="I18" s="19"/>
      <c r="J18" s="19"/>
      <c r="K18" s="19"/>
      <c r="L18" s="19"/>
      <c r="M18" s="19"/>
      <c r="N18" s="19"/>
      <c r="O18" s="19"/>
      <c r="P18" s="19"/>
      <c r="Q18" s="19"/>
      <c r="R18" s="19"/>
      <c r="S18" s="19"/>
    </row>
    <row r="19" spans="9:19" x14ac:dyDescent="0.3">
      <c r="I19" s="19"/>
      <c r="J19" s="19"/>
      <c r="K19" s="19"/>
      <c r="L19" s="19"/>
      <c r="M19" s="19"/>
      <c r="N19" s="19"/>
      <c r="O19" s="19"/>
      <c r="P19" s="19"/>
      <c r="Q19" s="19"/>
      <c r="R19" s="19"/>
      <c r="S19" s="19"/>
    </row>
    <row r="20" spans="9:19" x14ac:dyDescent="0.3">
      <c r="I20" s="19"/>
      <c r="J20" s="19"/>
      <c r="K20" s="19"/>
      <c r="L20" s="19"/>
      <c r="M20" s="19"/>
      <c r="N20" s="19"/>
      <c r="O20" s="19"/>
      <c r="P20" s="19"/>
      <c r="Q20" s="19"/>
      <c r="R20" s="19"/>
      <c r="S20" s="19"/>
    </row>
    <row r="21" spans="9:19" x14ac:dyDescent="0.3">
      <c r="I21" s="19"/>
      <c r="J21" s="19"/>
      <c r="K21" s="19"/>
      <c r="L21" s="19"/>
      <c r="M21" s="19"/>
      <c r="N21" s="19"/>
      <c r="O21" s="19"/>
      <c r="P21" s="19"/>
      <c r="Q21" s="19"/>
      <c r="R21" s="19"/>
      <c r="S21" s="19"/>
    </row>
  </sheetData>
  <mergeCells count="2">
    <mergeCell ref="I2:S21"/>
    <mergeCell ref="A2:F2"/>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4F9A7-4604-4B48-9305-8A226697F049}">
  <dimension ref="A2:N20"/>
  <sheetViews>
    <sheetView workbookViewId="0">
      <selection activeCell="D2" sqref="D2:N20"/>
    </sheetView>
  </sheetViews>
  <sheetFormatPr defaultRowHeight="14.4" x14ac:dyDescent="0.3"/>
  <cols>
    <col min="1" max="1" width="13.77734375" bestFit="1" customWidth="1"/>
    <col min="2" max="2" width="20.44140625" bestFit="1" customWidth="1"/>
  </cols>
  <sheetData>
    <row r="2" spans="1:14" x14ac:dyDescent="0.3">
      <c r="D2" s="19"/>
      <c r="E2" s="19"/>
      <c r="F2" s="19"/>
      <c r="G2" s="19"/>
      <c r="H2" s="19"/>
      <c r="I2" s="19"/>
      <c r="J2" s="19"/>
      <c r="K2" s="19"/>
      <c r="L2" s="19"/>
      <c r="M2" s="19"/>
      <c r="N2" s="19"/>
    </row>
    <row r="3" spans="1:14" x14ac:dyDescent="0.3">
      <c r="A3" s="49" t="s">
        <v>116</v>
      </c>
      <c r="B3" s="49" t="s">
        <v>142</v>
      </c>
      <c r="D3" s="19"/>
      <c r="E3" s="19"/>
      <c r="F3" s="19"/>
      <c r="G3" s="19"/>
      <c r="H3" s="19"/>
      <c r="I3" s="19"/>
      <c r="J3" s="19"/>
      <c r="K3" s="19"/>
      <c r="L3" s="19"/>
      <c r="M3" s="19"/>
      <c r="N3" s="19"/>
    </row>
    <row r="4" spans="1:14" x14ac:dyDescent="0.3">
      <c r="A4" s="13" t="s">
        <v>34</v>
      </c>
      <c r="B4" s="10">
        <v>103556.24600000001</v>
      </c>
      <c r="D4" s="19"/>
      <c r="E4" s="19"/>
      <c r="F4" s="19"/>
      <c r="G4" s="19"/>
      <c r="H4" s="19"/>
      <c r="I4" s="19"/>
      <c r="J4" s="19"/>
      <c r="K4" s="19"/>
      <c r="L4" s="19"/>
      <c r="M4" s="19"/>
      <c r="N4" s="19"/>
    </row>
    <row r="5" spans="1:14" x14ac:dyDescent="0.3">
      <c r="A5" s="13" t="s">
        <v>36</v>
      </c>
      <c r="B5" s="10">
        <v>97647.372000000003</v>
      </c>
      <c r="D5" s="19"/>
      <c r="E5" s="19"/>
      <c r="F5" s="19"/>
      <c r="G5" s="19"/>
      <c r="H5" s="19"/>
      <c r="I5" s="19"/>
      <c r="J5" s="19"/>
      <c r="K5" s="19"/>
      <c r="L5" s="19"/>
      <c r="M5" s="19"/>
      <c r="N5" s="19"/>
    </row>
    <row r="6" spans="1:14" x14ac:dyDescent="0.3">
      <c r="A6" s="13" t="s">
        <v>49</v>
      </c>
      <c r="B6" s="10">
        <v>204593.09</v>
      </c>
      <c r="D6" s="19"/>
      <c r="E6" s="19"/>
      <c r="F6" s="19"/>
      <c r="G6" s="19"/>
      <c r="H6" s="19"/>
      <c r="I6" s="19"/>
      <c r="J6" s="19"/>
      <c r="K6" s="19"/>
      <c r="L6" s="19"/>
      <c r="M6" s="19"/>
      <c r="N6" s="19"/>
    </row>
    <row r="7" spans="1:14" x14ac:dyDescent="0.3">
      <c r="A7" s="13" t="s">
        <v>41</v>
      </c>
      <c r="B7" s="10">
        <v>144780.96700000003</v>
      </c>
      <c r="D7" s="19"/>
      <c r="E7" s="19"/>
      <c r="F7" s="19"/>
      <c r="G7" s="19"/>
      <c r="H7" s="19"/>
      <c r="I7" s="19"/>
      <c r="J7" s="19"/>
      <c r="K7" s="19"/>
      <c r="L7" s="19"/>
      <c r="M7" s="19"/>
      <c r="N7" s="19"/>
    </row>
    <row r="8" spans="1:14" x14ac:dyDescent="0.3">
      <c r="A8" s="13" t="s">
        <v>11</v>
      </c>
      <c r="B8" s="10">
        <v>89828.194000000003</v>
      </c>
      <c r="D8" s="19"/>
      <c r="E8" s="19"/>
      <c r="F8" s="19"/>
      <c r="G8" s="19"/>
      <c r="H8" s="19"/>
      <c r="I8" s="19"/>
      <c r="J8" s="19"/>
      <c r="K8" s="19"/>
      <c r="L8" s="19"/>
      <c r="M8" s="19"/>
      <c r="N8" s="19"/>
    </row>
    <row r="9" spans="1:14" x14ac:dyDescent="0.3">
      <c r="A9" s="50" t="s">
        <v>117</v>
      </c>
      <c r="B9" s="52">
        <v>640405.86900000006</v>
      </c>
      <c r="D9" s="19"/>
      <c r="E9" s="19"/>
      <c r="F9" s="19"/>
      <c r="G9" s="19"/>
      <c r="H9" s="19"/>
      <c r="I9" s="19"/>
      <c r="J9" s="19"/>
      <c r="K9" s="19"/>
      <c r="L9" s="19"/>
      <c r="M9" s="19"/>
      <c r="N9" s="19"/>
    </row>
    <row r="10" spans="1:14" x14ac:dyDescent="0.3">
      <c r="D10" s="19"/>
      <c r="E10" s="19"/>
      <c r="F10" s="19"/>
      <c r="G10" s="19"/>
      <c r="H10" s="19"/>
      <c r="I10" s="19"/>
      <c r="J10" s="19"/>
      <c r="K10" s="19"/>
      <c r="L10" s="19"/>
      <c r="M10" s="19"/>
      <c r="N10" s="19"/>
    </row>
    <row r="11" spans="1:14" x14ac:dyDescent="0.3">
      <c r="D11" s="19"/>
      <c r="E11" s="19"/>
      <c r="F11" s="19"/>
      <c r="G11" s="19"/>
      <c r="H11" s="19"/>
      <c r="I11" s="19"/>
      <c r="J11" s="19"/>
      <c r="K11" s="19"/>
      <c r="L11" s="19"/>
      <c r="M11" s="19"/>
      <c r="N11" s="19"/>
    </row>
    <row r="12" spans="1:14" x14ac:dyDescent="0.3">
      <c r="D12" s="19"/>
      <c r="E12" s="19"/>
      <c r="F12" s="19"/>
      <c r="G12" s="19"/>
      <c r="H12" s="19"/>
      <c r="I12" s="19"/>
      <c r="J12" s="19"/>
      <c r="K12" s="19"/>
      <c r="L12" s="19"/>
      <c r="M12" s="19"/>
      <c r="N12" s="19"/>
    </row>
    <row r="13" spans="1:14" x14ac:dyDescent="0.3">
      <c r="D13" s="19"/>
      <c r="E13" s="19"/>
      <c r="F13" s="19"/>
      <c r="G13" s="19"/>
      <c r="H13" s="19"/>
      <c r="I13" s="19"/>
      <c r="J13" s="19"/>
      <c r="K13" s="19"/>
      <c r="L13" s="19"/>
      <c r="M13" s="19"/>
      <c r="N13" s="19"/>
    </row>
    <row r="14" spans="1:14" x14ac:dyDescent="0.3">
      <c r="D14" s="19"/>
      <c r="E14" s="19"/>
      <c r="F14" s="19"/>
      <c r="G14" s="19"/>
      <c r="H14" s="19"/>
      <c r="I14" s="19"/>
      <c r="J14" s="19"/>
      <c r="K14" s="19"/>
      <c r="L14" s="19"/>
      <c r="M14" s="19"/>
      <c r="N14" s="19"/>
    </row>
    <row r="15" spans="1:14" x14ac:dyDescent="0.3">
      <c r="D15" s="19"/>
      <c r="E15" s="19"/>
      <c r="F15" s="19"/>
      <c r="G15" s="19"/>
      <c r="H15" s="19"/>
      <c r="I15" s="19"/>
      <c r="J15" s="19"/>
      <c r="K15" s="19"/>
      <c r="L15" s="19"/>
      <c r="M15" s="19"/>
      <c r="N15" s="19"/>
    </row>
    <row r="16" spans="1:14" x14ac:dyDescent="0.3">
      <c r="D16" s="19"/>
      <c r="E16" s="19"/>
      <c r="F16" s="19"/>
      <c r="G16" s="19"/>
      <c r="H16" s="19"/>
      <c r="I16" s="19"/>
      <c r="J16" s="19"/>
      <c r="K16" s="19"/>
      <c r="L16" s="19"/>
      <c r="M16" s="19"/>
      <c r="N16" s="19"/>
    </row>
    <row r="17" spans="4:14" x14ac:dyDescent="0.3">
      <c r="D17" s="19"/>
      <c r="E17" s="19"/>
      <c r="F17" s="19"/>
      <c r="G17" s="19"/>
      <c r="H17" s="19"/>
      <c r="I17" s="19"/>
      <c r="J17" s="19"/>
      <c r="K17" s="19"/>
      <c r="L17" s="19"/>
      <c r="M17" s="19"/>
      <c r="N17" s="19"/>
    </row>
    <row r="18" spans="4:14" x14ac:dyDescent="0.3">
      <c r="D18" s="19"/>
      <c r="E18" s="19"/>
      <c r="F18" s="19"/>
      <c r="G18" s="19"/>
      <c r="H18" s="19"/>
      <c r="I18" s="19"/>
      <c r="J18" s="19"/>
      <c r="K18" s="19"/>
      <c r="L18" s="19"/>
      <c r="M18" s="19"/>
      <c r="N18" s="19"/>
    </row>
    <row r="19" spans="4:14" x14ac:dyDescent="0.3">
      <c r="D19" s="19"/>
      <c r="E19" s="19"/>
      <c r="F19" s="19"/>
      <c r="G19" s="19"/>
      <c r="H19" s="19"/>
      <c r="I19" s="19"/>
      <c r="J19" s="19"/>
      <c r="K19" s="19"/>
      <c r="L19" s="19"/>
      <c r="M19" s="19"/>
      <c r="N19" s="19"/>
    </row>
    <row r="20" spans="4:14" x14ac:dyDescent="0.3">
      <c r="D20" s="19"/>
      <c r="E20" s="19"/>
      <c r="F20" s="19"/>
      <c r="G20" s="19"/>
      <c r="H20" s="19"/>
      <c r="I20" s="19"/>
      <c r="J20" s="19"/>
      <c r="K20" s="19"/>
      <c r="L20" s="19"/>
      <c r="M20" s="19"/>
      <c r="N20" s="19"/>
    </row>
  </sheetData>
  <mergeCells count="1">
    <mergeCell ref="D2:N20"/>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3E78E-9736-4B63-A038-CE47DE88E4A0}">
  <dimension ref="A2:P23"/>
  <sheetViews>
    <sheetView workbookViewId="0">
      <selection activeCell="A19" sqref="A19:B19"/>
    </sheetView>
  </sheetViews>
  <sheetFormatPr defaultRowHeight="14.4" x14ac:dyDescent="0.3"/>
  <cols>
    <col min="1" max="1" width="12.5546875" bestFit="1" customWidth="1"/>
    <col min="2" max="2" width="11.6640625" bestFit="1" customWidth="1"/>
  </cols>
  <sheetData>
    <row r="2" spans="1:16" x14ac:dyDescent="0.3">
      <c r="D2" s="19"/>
      <c r="E2" s="19"/>
      <c r="F2" s="19"/>
      <c r="G2" s="19"/>
      <c r="H2" s="19"/>
      <c r="I2" s="19"/>
      <c r="J2" s="19"/>
      <c r="K2" s="19"/>
      <c r="L2" s="19"/>
      <c r="M2" s="19"/>
      <c r="N2" s="19"/>
      <c r="O2" s="19"/>
      <c r="P2" s="19"/>
    </row>
    <row r="3" spans="1:16" x14ac:dyDescent="0.3">
      <c r="A3" s="49" t="s">
        <v>116</v>
      </c>
      <c r="B3" s="49" t="s">
        <v>131</v>
      </c>
      <c r="D3" s="19"/>
      <c r="E3" s="19"/>
      <c r="F3" s="19"/>
      <c r="G3" s="19"/>
      <c r="H3" s="19"/>
      <c r="I3" s="19"/>
      <c r="J3" s="19"/>
      <c r="K3" s="19"/>
      <c r="L3" s="19"/>
      <c r="M3" s="19"/>
      <c r="N3" s="19"/>
      <c r="O3" s="19"/>
      <c r="P3" s="19"/>
    </row>
    <row r="4" spans="1:16" x14ac:dyDescent="0.3">
      <c r="A4" s="13" t="s">
        <v>143</v>
      </c>
      <c r="B4" s="21">
        <v>145429.36000000002</v>
      </c>
      <c r="D4" s="19"/>
      <c r="E4" s="19"/>
      <c r="F4" s="19"/>
      <c r="G4" s="19"/>
      <c r="H4" s="19"/>
      <c r="I4" s="19"/>
      <c r="J4" s="19"/>
      <c r="K4" s="19"/>
      <c r="L4" s="19"/>
      <c r="M4" s="19"/>
      <c r="N4" s="19"/>
      <c r="O4" s="19"/>
      <c r="P4" s="19"/>
    </row>
    <row r="5" spans="1:16" x14ac:dyDescent="0.3">
      <c r="A5" s="14" t="s">
        <v>122</v>
      </c>
      <c r="B5" s="21">
        <v>19029.96</v>
      </c>
      <c r="D5" s="19"/>
      <c r="E5" s="19"/>
      <c r="F5" s="19"/>
      <c r="G5" s="19"/>
      <c r="H5" s="19"/>
      <c r="I5" s="19"/>
      <c r="J5" s="19"/>
      <c r="K5" s="19"/>
      <c r="L5" s="19"/>
      <c r="M5" s="19"/>
      <c r="N5" s="19"/>
      <c r="O5" s="19"/>
      <c r="P5" s="19"/>
    </row>
    <row r="6" spans="1:16" x14ac:dyDescent="0.3">
      <c r="A6" s="14" t="s">
        <v>123</v>
      </c>
      <c r="B6" s="21">
        <v>18507.339999999997</v>
      </c>
      <c r="D6" s="19"/>
      <c r="E6" s="19"/>
      <c r="F6" s="19"/>
      <c r="G6" s="19"/>
      <c r="H6" s="19"/>
      <c r="I6" s="19"/>
      <c r="J6" s="19"/>
      <c r="K6" s="19"/>
      <c r="L6" s="19"/>
      <c r="M6" s="19"/>
      <c r="N6" s="19"/>
      <c r="O6" s="19"/>
      <c r="P6" s="19"/>
    </row>
    <row r="7" spans="1:16" x14ac:dyDescent="0.3">
      <c r="A7" s="14" t="s">
        <v>124</v>
      </c>
      <c r="B7" s="21">
        <v>20187.509999999998</v>
      </c>
      <c r="D7" s="19"/>
      <c r="E7" s="19"/>
      <c r="F7" s="19"/>
      <c r="G7" s="19"/>
      <c r="H7" s="19"/>
      <c r="I7" s="19"/>
      <c r="J7" s="19"/>
      <c r="K7" s="19"/>
      <c r="L7" s="19"/>
      <c r="M7" s="19"/>
      <c r="N7" s="19"/>
      <c r="O7" s="19"/>
      <c r="P7" s="19"/>
    </row>
    <row r="8" spans="1:16" x14ac:dyDescent="0.3">
      <c r="A8" s="14" t="s">
        <v>125</v>
      </c>
      <c r="B8" s="21">
        <v>11609.039999999999</v>
      </c>
      <c r="D8" s="19"/>
      <c r="E8" s="19"/>
      <c r="F8" s="19"/>
      <c r="G8" s="19"/>
      <c r="H8" s="19"/>
      <c r="I8" s="19"/>
      <c r="J8" s="19"/>
      <c r="K8" s="19"/>
      <c r="L8" s="19"/>
      <c r="M8" s="19"/>
      <c r="N8" s="19"/>
      <c r="O8" s="19"/>
      <c r="P8" s="19"/>
    </row>
    <row r="9" spans="1:16" x14ac:dyDescent="0.3">
      <c r="A9" s="14" t="s">
        <v>126</v>
      </c>
      <c r="B9" s="21">
        <v>10091.699999999999</v>
      </c>
      <c r="D9" s="19"/>
      <c r="E9" s="19"/>
      <c r="F9" s="19"/>
      <c r="G9" s="19"/>
      <c r="H9" s="19"/>
      <c r="I9" s="19"/>
      <c r="J9" s="19"/>
      <c r="K9" s="19"/>
      <c r="L9" s="19"/>
      <c r="M9" s="19"/>
      <c r="N9" s="19"/>
      <c r="O9" s="19"/>
      <c r="P9" s="19"/>
    </row>
    <row r="10" spans="1:16" x14ac:dyDescent="0.3">
      <c r="A10" s="14" t="s">
        <v>127</v>
      </c>
      <c r="B10" s="21">
        <v>20533.499999999996</v>
      </c>
      <c r="D10" s="19"/>
      <c r="E10" s="19"/>
      <c r="F10" s="19"/>
      <c r="G10" s="19"/>
      <c r="H10" s="19"/>
      <c r="I10" s="19"/>
      <c r="J10" s="19"/>
      <c r="K10" s="19"/>
      <c r="L10" s="19"/>
      <c r="M10" s="19"/>
      <c r="N10" s="19"/>
      <c r="O10" s="19"/>
      <c r="P10" s="19"/>
    </row>
    <row r="11" spans="1:16" x14ac:dyDescent="0.3">
      <c r="A11" s="14" t="s">
        <v>128</v>
      </c>
      <c r="B11" s="21">
        <v>14215.240000000002</v>
      </c>
      <c r="D11" s="19"/>
      <c r="E11" s="19"/>
      <c r="F11" s="19"/>
      <c r="G11" s="19"/>
      <c r="H11" s="19"/>
      <c r="I11" s="19"/>
      <c r="J11" s="19"/>
      <c r="K11" s="19"/>
      <c r="L11" s="19"/>
      <c r="M11" s="19"/>
      <c r="N11" s="19"/>
      <c r="O11" s="19"/>
      <c r="P11" s="19"/>
    </row>
    <row r="12" spans="1:16" x14ac:dyDescent="0.3">
      <c r="A12" s="14" t="s">
        <v>129</v>
      </c>
      <c r="B12" s="21">
        <v>20135.030000000002</v>
      </c>
      <c r="D12" s="19"/>
      <c r="E12" s="19"/>
      <c r="F12" s="19"/>
      <c r="G12" s="19"/>
      <c r="H12" s="19"/>
      <c r="I12" s="19"/>
      <c r="J12" s="19"/>
      <c r="K12" s="19"/>
      <c r="L12" s="19"/>
      <c r="M12" s="19"/>
      <c r="N12" s="19"/>
      <c r="O12" s="19"/>
      <c r="P12" s="19"/>
    </row>
    <row r="13" spans="1:16" x14ac:dyDescent="0.3">
      <c r="A13" s="14" t="s">
        <v>130</v>
      </c>
      <c r="B13" s="21">
        <v>11120.04</v>
      </c>
      <c r="D13" s="19"/>
      <c r="E13" s="19"/>
      <c r="F13" s="19"/>
      <c r="G13" s="19"/>
      <c r="H13" s="19"/>
      <c r="I13" s="19"/>
      <c r="J13" s="19"/>
      <c r="K13" s="19"/>
      <c r="L13" s="19"/>
      <c r="M13" s="19"/>
      <c r="N13" s="19"/>
      <c r="O13" s="19"/>
      <c r="P13" s="19"/>
    </row>
    <row r="14" spans="1:16" x14ac:dyDescent="0.3">
      <c r="A14" s="13" t="s">
        <v>118</v>
      </c>
      <c r="B14" s="21">
        <v>49788.399999999994</v>
      </c>
      <c r="D14" s="19"/>
      <c r="E14" s="19"/>
      <c r="F14" s="19"/>
      <c r="G14" s="19"/>
      <c r="H14" s="19"/>
      <c r="I14" s="19"/>
      <c r="J14" s="19"/>
      <c r="K14" s="19"/>
      <c r="L14" s="19"/>
      <c r="M14" s="19"/>
      <c r="N14" s="19"/>
      <c r="O14" s="19"/>
      <c r="P14" s="19"/>
    </row>
    <row r="15" spans="1:16" x14ac:dyDescent="0.3">
      <c r="A15" s="14" t="s">
        <v>119</v>
      </c>
      <c r="B15" s="21">
        <v>14914.650000000001</v>
      </c>
      <c r="D15" s="19"/>
      <c r="E15" s="19"/>
      <c r="F15" s="19"/>
      <c r="G15" s="19"/>
      <c r="H15" s="19"/>
      <c r="I15" s="19"/>
      <c r="J15" s="19"/>
      <c r="K15" s="19"/>
      <c r="L15" s="19"/>
      <c r="M15" s="19"/>
      <c r="N15" s="19"/>
      <c r="O15" s="19"/>
      <c r="P15" s="19"/>
    </row>
    <row r="16" spans="1:16" x14ac:dyDescent="0.3">
      <c r="A16" s="14" t="s">
        <v>120</v>
      </c>
      <c r="B16" s="21">
        <v>14006.359999999999</v>
      </c>
      <c r="D16" s="19"/>
      <c r="E16" s="19"/>
      <c r="F16" s="19"/>
      <c r="G16" s="19"/>
      <c r="H16" s="19"/>
      <c r="I16" s="19"/>
      <c r="J16" s="19"/>
      <c r="K16" s="19"/>
      <c r="L16" s="19"/>
      <c r="M16" s="19"/>
      <c r="N16" s="19"/>
      <c r="O16" s="19"/>
      <c r="P16" s="19"/>
    </row>
    <row r="17" spans="1:16" x14ac:dyDescent="0.3">
      <c r="A17" s="14" t="s">
        <v>121</v>
      </c>
      <c r="B17" s="21">
        <v>17655.219999999998</v>
      </c>
      <c r="D17" s="19"/>
      <c r="E17" s="19"/>
      <c r="F17" s="19"/>
      <c r="G17" s="19"/>
      <c r="H17" s="19"/>
      <c r="I17" s="19"/>
      <c r="J17" s="19"/>
      <c r="K17" s="19"/>
      <c r="L17" s="19"/>
      <c r="M17" s="19"/>
      <c r="N17" s="19"/>
      <c r="O17" s="19"/>
      <c r="P17" s="19"/>
    </row>
    <row r="18" spans="1:16" x14ac:dyDescent="0.3">
      <c r="A18" s="14" t="s">
        <v>122</v>
      </c>
      <c r="B18" s="21">
        <v>3212.17</v>
      </c>
      <c r="D18" s="19"/>
      <c r="E18" s="19"/>
      <c r="F18" s="19"/>
      <c r="G18" s="19"/>
      <c r="H18" s="19"/>
      <c r="I18" s="19"/>
      <c r="J18" s="19"/>
      <c r="K18" s="19"/>
      <c r="L18" s="19"/>
      <c r="M18" s="19"/>
      <c r="N18" s="19"/>
      <c r="O18" s="19"/>
      <c r="P18" s="19"/>
    </row>
    <row r="19" spans="1:16" x14ac:dyDescent="0.3">
      <c r="A19" s="50" t="s">
        <v>117</v>
      </c>
      <c r="B19" s="51">
        <v>195217.76</v>
      </c>
      <c r="D19" s="19"/>
      <c r="E19" s="19"/>
      <c r="F19" s="19"/>
      <c r="G19" s="19"/>
      <c r="H19" s="19"/>
      <c r="I19" s="19"/>
      <c r="J19" s="19"/>
      <c r="K19" s="19"/>
      <c r="L19" s="19"/>
      <c r="M19" s="19"/>
      <c r="N19" s="19"/>
      <c r="O19" s="19"/>
      <c r="P19" s="19"/>
    </row>
    <row r="20" spans="1:16" x14ac:dyDescent="0.3">
      <c r="D20" s="19"/>
      <c r="E20" s="19"/>
      <c r="F20" s="19"/>
      <c r="G20" s="19"/>
      <c r="H20" s="19"/>
      <c r="I20" s="19"/>
      <c r="J20" s="19"/>
      <c r="K20" s="19"/>
      <c r="L20" s="19"/>
      <c r="M20" s="19"/>
      <c r="N20" s="19"/>
      <c r="O20" s="19"/>
      <c r="P20" s="19"/>
    </row>
    <row r="21" spans="1:16" x14ac:dyDescent="0.3">
      <c r="D21" s="19"/>
      <c r="E21" s="19"/>
      <c r="F21" s="19"/>
      <c r="G21" s="19"/>
      <c r="H21" s="19"/>
      <c r="I21" s="19"/>
      <c r="J21" s="19"/>
      <c r="K21" s="19"/>
      <c r="L21" s="19"/>
      <c r="M21" s="19"/>
      <c r="N21" s="19"/>
      <c r="O21" s="19"/>
      <c r="P21" s="19"/>
    </row>
    <row r="22" spans="1:16" x14ac:dyDescent="0.3">
      <c r="D22" s="19"/>
      <c r="E22" s="19"/>
      <c r="F22" s="19"/>
      <c r="G22" s="19"/>
      <c r="H22" s="19"/>
      <c r="I22" s="19"/>
      <c r="J22" s="19"/>
      <c r="K22" s="19"/>
      <c r="L22" s="19"/>
      <c r="M22" s="19"/>
      <c r="N22" s="19"/>
      <c r="O22" s="19"/>
      <c r="P22" s="19"/>
    </row>
    <row r="23" spans="1:16" x14ac:dyDescent="0.3">
      <c r="D23" s="19"/>
      <c r="E23" s="19"/>
      <c r="F23" s="19"/>
      <c r="G23" s="19"/>
      <c r="H23" s="19"/>
      <c r="I23" s="19"/>
      <c r="J23" s="19"/>
      <c r="K23" s="19"/>
      <c r="L23" s="19"/>
      <c r="M23" s="19"/>
      <c r="N23" s="19"/>
      <c r="O23" s="19"/>
      <c r="P23" s="19"/>
    </row>
  </sheetData>
  <mergeCells count="1">
    <mergeCell ref="D2:P23"/>
  </mergeCell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E3FF0-A34A-400A-816F-FB2B7968D0DD}">
  <sheetPr>
    <tabColor theme="1"/>
  </sheetPr>
  <dimension ref="A1:W34"/>
  <sheetViews>
    <sheetView showGridLines="0" zoomScale="89" zoomScaleNormal="89" workbookViewId="0">
      <selection activeCell="W1" sqref="A1:W34"/>
    </sheetView>
  </sheetViews>
  <sheetFormatPr defaultRowHeight="14.4" x14ac:dyDescent="0.3"/>
  <cols>
    <col min="23" max="23" width="13.21875" customWidth="1"/>
  </cols>
  <sheetData>
    <row r="1" spans="1:23" x14ac:dyDescent="0.3">
      <c r="A1" s="53"/>
      <c r="B1" s="53"/>
      <c r="C1" s="53"/>
      <c r="D1" s="53"/>
      <c r="E1" s="53"/>
      <c r="F1" s="53"/>
      <c r="G1" s="53"/>
      <c r="H1" s="53"/>
      <c r="I1" s="53"/>
      <c r="J1" s="53"/>
      <c r="K1" s="53"/>
      <c r="L1" s="53"/>
      <c r="M1" s="53"/>
      <c r="N1" s="53"/>
      <c r="O1" s="53"/>
      <c r="P1" s="53"/>
      <c r="Q1" s="53"/>
      <c r="R1" s="53"/>
      <c r="S1" s="53"/>
      <c r="T1" s="53"/>
      <c r="U1" s="53"/>
      <c r="V1" s="53"/>
      <c r="W1" s="53"/>
    </row>
    <row r="2" spans="1:23" x14ac:dyDescent="0.3">
      <c r="A2" s="53"/>
      <c r="B2" s="53"/>
      <c r="C2" s="53"/>
      <c r="D2" s="53"/>
      <c r="E2" s="53"/>
      <c r="F2" s="53"/>
      <c r="G2" s="53"/>
      <c r="H2" s="53"/>
      <c r="I2" s="53"/>
      <c r="J2" s="53"/>
      <c r="K2" s="53"/>
      <c r="L2" s="53"/>
      <c r="M2" s="53"/>
      <c r="N2" s="53"/>
      <c r="O2" s="53"/>
      <c r="P2" s="53"/>
      <c r="Q2" s="53"/>
      <c r="R2" s="53"/>
      <c r="S2" s="53"/>
      <c r="T2" s="53"/>
      <c r="U2" s="53"/>
      <c r="V2" s="53"/>
      <c r="W2" s="53"/>
    </row>
    <row r="3" spans="1:23" x14ac:dyDescent="0.3">
      <c r="A3" s="53"/>
      <c r="B3" s="53"/>
      <c r="C3" s="53"/>
      <c r="D3" s="53"/>
      <c r="E3" s="53"/>
      <c r="F3" s="53"/>
      <c r="G3" s="53"/>
      <c r="H3" s="53"/>
      <c r="I3" s="53"/>
      <c r="J3" s="53"/>
      <c r="K3" s="53"/>
      <c r="L3" s="53"/>
      <c r="M3" s="53"/>
      <c r="N3" s="53"/>
      <c r="O3" s="53"/>
      <c r="P3" s="53"/>
      <c r="Q3" s="53"/>
      <c r="R3" s="53"/>
      <c r="S3" s="53"/>
      <c r="T3" s="53"/>
      <c r="U3" s="53"/>
      <c r="V3" s="53"/>
      <c r="W3" s="53"/>
    </row>
    <row r="4" spans="1:23" x14ac:dyDescent="0.3">
      <c r="A4" s="53"/>
      <c r="B4" s="53"/>
      <c r="C4" s="53"/>
      <c r="D4" s="53"/>
      <c r="E4" s="53"/>
      <c r="F4" s="53"/>
      <c r="G4" s="53"/>
      <c r="H4" s="53"/>
      <c r="I4" s="53"/>
      <c r="J4" s="53"/>
      <c r="K4" s="53"/>
      <c r="L4" s="53"/>
      <c r="M4" s="53"/>
      <c r="N4" s="53"/>
      <c r="O4" s="53"/>
      <c r="P4" s="53"/>
      <c r="Q4" s="53"/>
      <c r="R4" s="53"/>
      <c r="S4" s="53"/>
      <c r="T4" s="53"/>
      <c r="U4" s="53"/>
      <c r="V4" s="53"/>
      <c r="W4" s="53"/>
    </row>
    <row r="5" spans="1:23" x14ac:dyDescent="0.3">
      <c r="A5" s="53"/>
      <c r="B5" s="53"/>
      <c r="C5" s="53"/>
      <c r="D5" s="53"/>
      <c r="E5" s="53"/>
      <c r="F5" s="53"/>
      <c r="G5" s="53"/>
      <c r="H5" s="53"/>
      <c r="I5" s="53"/>
      <c r="J5" s="53"/>
      <c r="K5" s="53"/>
      <c r="L5" s="53"/>
      <c r="M5" s="53"/>
      <c r="N5" s="53"/>
      <c r="O5" s="53"/>
      <c r="P5" s="53"/>
      <c r="Q5" s="53"/>
      <c r="R5" s="53"/>
      <c r="S5" s="53"/>
      <c r="T5" s="53"/>
      <c r="U5" s="53"/>
      <c r="V5" s="53"/>
      <c r="W5" s="53"/>
    </row>
    <row r="6" spans="1:23" x14ac:dyDescent="0.3">
      <c r="A6" s="53"/>
      <c r="B6" s="53"/>
      <c r="C6" s="53"/>
      <c r="D6" s="53"/>
      <c r="E6" s="53"/>
      <c r="F6" s="53"/>
      <c r="G6" s="53"/>
      <c r="H6" s="53"/>
      <c r="I6" s="53"/>
      <c r="J6" s="53"/>
      <c r="K6" s="53"/>
      <c r="L6" s="53"/>
      <c r="M6" s="53"/>
      <c r="N6" s="53"/>
      <c r="O6" s="53"/>
      <c r="P6" s="53"/>
      <c r="Q6" s="53"/>
      <c r="R6" s="53"/>
      <c r="S6" s="53"/>
      <c r="T6" s="53"/>
      <c r="U6" s="53"/>
      <c r="V6" s="53"/>
      <c r="W6" s="53"/>
    </row>
    <row r="7" spans="1:23" x14ac:dyDescent="0.3">
      <c r="A7" s="53"/>
      <c r="B7" s="53"/>
      <c r="C7" s="53"/>
      <c r="D7" s="53"/>
      <c r="E7" s="53"/>
      <c r="F7" s="53"/>
      <c r="G7" s="53"/>
      <c r="H7" s="53"/>
      <c r="I7" s="53"/>
      <c r="J7" s="53"/>
      <c r="K7" s="53"/>
      <c r="L7" s="53"/>
      <c r="M7" s="53"/>
      <c r="N7" s="53"/>
      <c r="O7" s="53"/>
      <c r="P7" s="53"/>
      <c r="Q7" s="53"/>
      <c r="R7" s="53"/>
      <c r="S7" s="53"/>
      <c r="T7" s="53"/>
      <c r="U7" s="53"/>
      <c r="V7" s="53"/>
      <c r="W7" s="53"/>
    </row>
    <row r="8" spans="1:23" x14ac:dyDescent="0.3">
      <c r="A8" s="53"/>
      <c r="B8" s="53"/>
      <c r="C8" s="53"/>
      <c r="D8" s="53"/>
      <c r="E8" s="53"/>
      <c r="F8" s="53"/>
      <c r="G8" s="53"/>
      <c r="H8" s="53"/>
      <c r="I8" s="53"/>
      <c r="J8" s="53"/>
      <c r="K8" s="53"/>
      <c r="L8" s="53"/>
      <c r="M8" s="53"/>
      <c r="N8" s="53"/>
      <c r="O8" s="53"/>
      <c r="P8" s="53"/>
      <c r="Q8" s="53"/>
      <c r="R8" s="53"/>
      <c r="S8" s="53"/>
      <c r="T8" s="53"/>
      <c r="U8" s="53"/>
      <c r="V8" s="53"/>
      <c r="W8" s="53"/>
    </row>
    <row r="9" spans="1:23" x14ac:dyDescent="0.3">
      <c r="A9" s="53"/>
      <c r="B9" s="53"/>
      <c r="C9" s="53"/>
      <c r="D9" s="53"/>
      <c r="E9" s="53"/>
      <c r="F9" s="53"/>
      <c r="G9" s="53"/>
      <c r="H9" s="53"/>
      <c r="I9" s="53"/>
      <c r="J9" s="53"/>
      <c r="K9" s="53"/>
      <c r="L9" s="53"/>
      <c r="M9" s="53"/>
      <c r="N9" s="53"/>
      <c r="O9" s="53"/>
      <c r="P9" s="53"/>
      <c r="Q9" s="53"/>
      <c r="R9" s="53"/>
      <c r="S9" s="53"/>
      <c r="T9" s="53"/>
      <c r="U9" s="53"/>
      <c r="V9" s="53"/>
      <c r="W9" s="53"/>
    </row>
    <row r="10" spans="1:23" x14ac:dyDescent="0.3">
      <c r="A10" s="53"/>
      <c r="B10" s="53"/>
      <c r="C10" s="53"/>
      <c r="D10" s="53"/>
      <c r="E10" s="53"/>
      <c r="F10" s="53"/>
      <c r="G10" s="53"/>
      <c r="H10" s="53"/>
      <c r="I10" s="53"/>
      <c r="J10" s="53"/>
      <c r="K10" s="53"/>
      <c r="L10" s="53"/>
      <c r="M10" s="53"/>
      <c r="N10" s="53"/>
      <c r="O10" s="53"/>
      <c r="P10" s="53"/>
      <c r="Q10" s="53"/>
      <c r="R10" s="53"/>
      <c r="S10" s="53"/>
      <c r="T10" s="53"/>
      <c r="U10" s="53"/>
      <c r="V10" s="53"/>
      <c r="W10" s="53"/>
    </row>
    <row r="11" spans="1:23" x14ac:dyDescent="0.3">
      <c r="A11" s="53"/>
      <c r="B11" s="53"/>
      <c r="C11" s="53"/>
      <c r="D11" s="53"/>
      <c r="E11" s="53"/>
      <c r="F11" s="53"/>
      <c r="G11" s="53"/>
      <c r="H11" s="53"/>
      <c r="I11" s="53"/>
      <c r="J11" s="53"/>
      <c r="K11" s="53"/>
      <c r="L11" s="53"/>
      <c r="M11" s="53"/>
      <c r="N11" s="53"/>
      <c r="O11" s="53"/>
      <c r="P11" s="53"/>
      <c r="Q11" s="53"/>
      <c r="R11" s="53"/>
      <c r="S11" s="53"/>
      <c r="T11" s="53"/>
      <c r="U11" s="53"/>
      <c r="V11" s="53"/>
      <c r="W11" s="53"/>
    </row>
    <row r="12" spans="1:23" x14ac:dyDescent="0.3">
      <c r="A12" s="53"/>
      <c r="B12" s="53"/>
      <c r="C12" s="53"/>
      <c r="D12" s="53"/>
      <c r="E12" s="53"/>
      <c r="F12" s="53"/>
      <c r="G12" s="53"/>
      <c r="H12" s="53"/>
      <c r="I12" s="53"/>
      <c r="J12" s="53"/>
      <c r="K12" s="53"/>
      <c r="L12" s="53"/>
      <c r="M12" s="53"/>
      <c r="N12" s="53"/>
      <c r="O12" s="53"/>
      <c r="P12" s="53"/>
      <c r="Q12" s="53"/>
      <c r="R12" s="53"/>
      <c r="S12" s="53"/>
      <c r="T12" s="53"/>
      <c r="U12" s="53"/>
      <c r="V12" s="53"/>
      <c r="W12" s="53"/>
    </row>
    <row r="13" spans="1:23" x14ac:dyDescent="0.3">
      <c r="A13" s="53"/>
      <c r="B13" s="53"/>
      <c r="C13" s="53"/>
      <c r="D13" s="53"/>
      <c r="E13" s="53"/>
      <c r="F13" s="53"/>
      <c r="G13" s="53"/>
      <c r="H13" s="53"/>
      <c r="I13" s="53"/>
      <c r="J13" s="53"/>
      <c r="K13" s="53"/>
      <c r="L13" s="53"/>
      <c r="M13" s="53"/>
      <c r="N13" s="53"/>
      <c r="O13" s="53"/>
      <c r="P13" s="53"/>
      <c r="Q13" s="53"/>
      <c r="R13" s="53"/>
      <c r="S13" s="53"/>
      <c r="T13" s="53"/>
      <c r="U13" s="53"/>
      <c r="V13" s="53"/>
      <c r="W13" s="53"/>
    </row>
    <row r="14" spans="1:23" x14ac:dyDescent="0.3">
      <c r="A14" s="53"/>
      <c r="B14" s="53"/>
      <c r="C14" s="53"/>
      <c r="D14" s="53"/>
      <c r="E14" s="53"/>
      <c r="F14" s="53"/>
      <c r="G14" s="53"/>
      <c r="H14" s="53"/>
      <c r="I14" s="53"/>
      <c r="J14" s="53"/>
      <c r="K14" s="53"/>
      <c r="L14" s="53"/>
      <c r="M14" s="53"/>
      <c r="N14" s="53"/>
      <c r="O14" s="53"/>
      <c r="P14" s="53"/>
      <c r="Q14" s="53"/>
      <c r="R14" s="53"/>
      <c r="S14" s="53"/>
      <c r="T14" s="53"/>
      <c r="U14" s="53"/>
      <c r="V14" s="53"/>
      <c r="W14" s="53"/>
    </row>
    <row r="15" spans="1:23" x14ac:dyDescent="0.3">
      <c r="A15" s="53"/>
      <c r="B15" s="53"/>
      <c r="C15" s="53"/>
      <c r="D15" s="53"/>
      <c r="E15" s="53"/>
      <c r="F15" s="53"/>
      <c r="G15" s="53"/>
      <c r="H15" s="53"/>
      <c r="I15" s="53"/>
      <c r="J15" s="53"/>
      <c r="K15" s="53"/>
      <c r="L15" s="53"/>
      <c r="M15" s="53"/>
      <c r="N15" s="53"/>
      <c r="O15" s="53"/>
      <c r="P15" s="53"/>
      <c r="Q15" s="53"/>
      <c r="R15" s="53"/>
      <c r="S15" s="53"/>
      <c r="T15" s="53"/>
      <c r="U15" s="53"/>
      <c r="V15" s="53"/>
      <c r="W15" s="53"/>
    </row>
    <row r="16" spans="1:23" x14ac:dyDescent="0.3">
      <c r="A16" s="53"/>
      <c r="B16" s="53"/>
      <c r="C16" s="53"/>
      <c r="D16" s="53"/>
      <c r="E16" s="53"/>
      <c r="F16" s="53"/>
      <c r="G16" s="53"/>
      <c r="H16" s="53"/>
      <c r="I16" s="53"/>
      <c r="J16" s="53"/>
      <c r="K16" s="53"/>
      <c r="L16" s="53"/>
      <c r="M16" s="53"/>
      <c r="N16" s="53"/>
      <c r="O16" s="53"/>
      <c r="P16" s="53"/>
      <c r="Q16" s="53"/>
      <c r="R16" s="53"/>
      <c r="S16" s="53"/>
      <c r="T16" s="53"/>
      <c r="U16" s="53"/>
      <c r="V16" s="53"/>
      <c r="W16" s="53"/>
    </row>
    <row r="17" spans="1:23" x14ac:dyDescent="0.3">
      <c r="A17" s="53"/>
      <c r="B17" s="53"/>
      <c r="C17" s="53"/>
      <c r="D17" s="53"/>
      <c r="E17" s="53"/>
      <c r="F17" s="53"/>
      <c r="G17" s="53"/>
      <c r="H17" s="53"/>
      <c r="I17" s="53"/>
      <c r="J17" s="53"/>
      <c r="K17" s="53"/>
      <c r="L17" s="53"/>
      <c r="M17" s="53"/>
      <c r="N17" s="53"/>
      <c r="O17" s="53"/>
      <c r="P17" s="53"/>
      <c r="Q17" s="53"/>
      <c r="R17" s="53"/>
      <c r="S17" s="53"/>
      <c r="T17" s="53"/>
      <c r="U17" s="53"/>
      <c r="V17" s="53"/>
      <c r="W17" s="53"/>
    </row>
    <row r="18" spans="1:23" x14ac:dyDescent="0.3">
      <c r="A18" s="53"/>
      <c r="B18" s="53"/>
      <c r="C18" s="53"/>
      <c r="D18" s="53"/>
      <c r="E18" s="53"/>
      <c r="F18" s="53"/>
      <c r="G18" s="53"/>
      <c r="H18" s="53"/>
      <c r="I18" s="53"/>
      <c r="J18" s="53"/>
      <c r="K18" s="53"/>
      <c r="L18" s="53"/>
      <c r="M18" s="53"/>
      <c r="N18" s="53"/>
      <c r="O18" s="53"/>
      <c r="P18" s="53"/>
      <c r="Q18" s="53"/>
      <c r="R18" s="53"/>
      <c r="S18" s="53"/>
      <c r="T18" s="53"/>
      <c r="U18" s="53"/>
      <c r="V18" s="53"/>
      <c r="W18" s="53"/>
    </row>
    <row r="19" spans="1:23" x14ac:dyDescent="0.3">
      <c r="A19" s="53"/>
      <c r="B19" s="53"/>
      <c r="C19" s="53"/>
      <c r="D19" s="53"/>
      <c r="E19" s="53"/>
      <c r="F19" s="53"/>
      <c r="G19" s="53"/>
      <c r="H19" s="53"/>
      <c r="I19" s="53"/>
      <c r="J19" s="53"/>
      <c r="K19" s="53"/>
      <c r="L19" s="53"/>
      <c r="M19" s="53"/>
      <c r="N19" s="53"/>
      <c r="O19" s="53"/>
      <c r="P19" s="53"/>
      <c r="Q19" s="53"/>
      <c r="R19" s="53"/>
      <c r="S19" s="53"/>
      <c r="T19" s="53"/>
      <c r="U19" s="53"/>
      <c r="V19" s="53"/>
      <c r="W19" s="53"/>
    </row>
    <row r="20" spans="1:23" x14ac:dyDescent="0.3">
      <c r="A20" s="53"/>
      <c r="B20" s="53"/>
      <c r="C20" s="53"/>
      <c r="D20" s="53"/>
      <c r="E20" s="53"/>
      <c r="F20" s="53"/>
      <c r="G20" s="53"/>
      <c r="H20" s="53"/>
      <c r="I20" s="53"/>
      <c r="J20" s="53"/>
      <c r="K20" s="53"/>
      <c r="L20" s="53"/>
      <c r="M20" s="53"/>
      <c r="N20" s="53"/>
      <c r="O20" s="53"/>
      <c r="P20" s="53"/>
      <c r="Q20" s="53"/>
      <c r="R20" s="53"/>
      <c r="S20" s="53"/>
      <c r="T20" s="53"/>
      <c r="U20" s="53"/>
      <c r="V20" s="53"/>
      <c r="W20" s="53"/>
    </row>
    <row r="21" spans="1:23" x14ac:dyDescent="0.3">
      <c r="A21" s="53"/>
      <c r="B21" s="53"/>
      <c r="C21" s="53"/>
      <c r="D21" s="53"/>
      <c r="E21" s="53"/>
      <c r="F21" s="53"/>
      <c r="G21" s="53"/>
      <c r="H21" s="53"/>
      <c r="I21" s="53"/>
      <c r="J21" s="53"/>
      <c r="K21" s="53"/>
      <c r="L21" s="53"/>
      <c r="M21" s="53"/>
      <c r="N21" s="53"/>
      <c r="O21" s="53"/>
      <c r="P21" s="53"/>
      <c r="Q21" s="53"/>
      <c r="R21" s="53"/>
      <c r="S21" s="53"/>
      <c r="T21" s="53"/>
      <c r="U21" s="53"/>
      <c r="V21" s="53"/>
      <c r="W21" s="53"/>
    </row>
    <row r="22" spans="1:23" x14ac:dyDescent="0.3">
      <c r="A22" s="53"/>
      <c r="B22" s="53"/>
      <c r="C22" s="53"/>
      <c r="D22" s="53"/>
      <c r="E22" s="53"/>
      <c r="F22" s="53"/>
      <c r="G22" s="53"/>
      <c r="H22" s="53"/>
      <c r="I22" s="53"/>
      <c r="J22" s="53"/>
      <c r="K22" s="53"/>
      <c r="L22" s="53"/>
      <c r="M22" s="53"/>
      <c r="N22" s="53"/>
      <c r="O22" s="53"/>
      <c r="P22" s="53"/>
      <c r="Q22" s="53"/>
      <c r="R22" s="53"/>
      <c r="S22" s="53"/>
      <c r="T22" s="53"/>
      <c r="U22" s="53"/>
      <c r="V22" s="53"/>
      <c r="W22" s="53"/>
    </row>
    <row r="23" spans="1:23" x14ac:dyDescent="0.3">
      <c r="A23" s="53"/>
      <c r="B23" s="53"/>
      <c r="C23" s="53"/>
      <c r="D23" s="53"/>
      <c r="E23" s="53"/>
      <c r="F23" s="53"/>
      <c r="G23" s="53"/>
      <c r="H23" s="53"/>
      <c r="I23" s="53"/>
      <c r="J23" s="53"/>
      <c r="K23" s="53"/>
      <c r="L23" s="53"/>
      <c r="M23" s="53"/>
      <c r="N23" s="53"/>
      <c r="O23" s="53"/>
      <c r="P23" s="53"/>
      <c r="Q23" s="53"/>
      <c r="R23" s="53"/>
      <c r="S23" s="53"/>
      <c r="T23" s="53"/>
      <c r="U23" s="53"/>
      <c r="V23" s="53"/>
      <c r="W23" s="53"/>
    </row>
    <row r="24" spans="1:23" x14ac:dyDescent="0.3">
      <c r="A24" s="53"/>
      <c r="B24" s="53"/>
      <c r="C24" s="53"/>
      <c r="D24" s="53"/>
      <c r="E24" s="53"/>
      <c r="F24" s="53"/>
      <c r="G24" s="53"/>
      <c r="H24" s="53"/>
      <c r="I24" s="53"/>
      <c r="J24" s="53"/>
      <c r="K24" s="53"/>
      <c r="L24" s="53"/>
      <c r="M24" s="53"/>
      <c r="N24" s="53"/>
      <c r="O24" s="53"/>
      <c r="P24" s="53"/>
      <c r="Q24" s="53"/>
      <c r="R24" s="53"/>
      <c r="S24" s="53"/>
      <c r="T24" s="53"/>
      <c r="U24" s="53"/>
      <c r="V24" s="53"/>
      <c r="W24" s="53"/>
    </row>
    <row r="25" spans="1:23" x14ac:dyDescent="0.3">
      <c r="A25" s="53"/>
      <c r="B25" s="53"/>
      <c r="C25" s="53"/>
      <c r="D25" s="53"/>
      <c r="E25" s="53"/>
      <c r="F25" s="53"/>
      <c r="G25" s="53"/>
      <c r="H25" s="53"/>
      <c r="I25" s="53"/>
      <c r="J25" s="53"/>
      <c r="K25" s="53"/>
      <c r="L25" s="53"/>
      <c r="M25" s="53"/>
      <c r="N25" s="53"/>
      <c r="O25" s="53"/>
      <c r="P25" s="53"/>
      <c r="Q25" s="53"/>
      <c r="R25" s="53"/>
      <c r="S25" s="53"/>
      <c r="T25" s="53"/>
      <c r="U25" s="53"/>
      <c r="V25" s="53"/>
      <c r="W25" s="53"/>
    </row>
    <row r="26" spans="1:23" x14ac:dyDescent="0.3">
      <c r="A26" s="53"/>
      <c r="B26" s="53"/>
      <c r="C26" s="53"/>
      <c r="D26" s="53"/>
      <c r="E26" s="53"/>
      <c r="F26" s="53"/>
      <c r="G26" s="53"/>
      <c r="H26" s="53"/>
      <c r="I26" s="53"/>
      <c r="J26" s="53"/>
      <c r="K26" s="53"/>
      <c r="L26" s="53"/>
      <c r="M26" s="53"/>
      <c r="N26" s="53"/>
      <c r="O26" s="53"/>
      <c r="P26" s="53"/>
      <c r="Q26" s="53"/>
      <c r="R26" s="53"/>
      <c r="S26" s="53"/>
      <c r="T26" s="53"/>
      <c r="U26" s="53"/>
      <c r="V26" s="53"/>
      <c r="W26" s="53"/>
    </row>
    <row r="27" spans="1:23" x14ac:dyDescent="0.3">
      <c r="A27" s="53"/>
      <c r="B27" s="53"/>
      <c r="C27" s="53"/>
      <c r="D27" s="53"/>
      <c r="E27" s="53"/>
      <c r="F27" s="53"/>
      <c r="G27" s="53"/>
      <c r="H27" s="53"/>
      <c r="I27" s="53"/>
      <c r="J27" s="53"/>
      <c r="K27" s="53"/>
      <c r="L27" s="53"/>
      <c r="M27" s="53"/>
      <c r="N27" s="53"/>
      <c r="O27" s="53"/>
      <c r="P27" s="53"/>
      <c r="Q27" s="53"/>
      <c r="R27" s="53"/>
      <c r="S27" s="53"/>
      <c r="T27" s="53"/>
      <c r="U27" s="53"/>
      <c r="V27" s="53"/>
      <c r="W27" s="53"/>
    </row>
    <row r="28" spans="1:23" x14ac:dyDescent="0.3">
      <c r="A28" s="53"/>
      <c r="B28" s="53"/>
      <c r="C28" s="53"/>
      <c r="D28" s="53"/>
      <c r="E28" s="53"/>
      <c r="F28" s="53"/>
      <c r="G28" s="53"/>
      <c r="H28" s="53"/>
      <c r="I28" s="53"/>
      <c r="J28" s="53"/>
      <c r="K28" s="53"/>
      <c r="L28" s="53"/>
      <c r="M28" s="53"/>
      <c r="N28" s="53"/>
      <c r="O28" s="53"/>
      <c r="P28" s="53"/>
      <c r="Q28" s="53"/>
      <c r="R28" s="53"/>
      <c r="S28" s="53"/>
      <c r="T28" s="53"/>
      <c r="U28" s="53"/>
      <c r="V28" s="53"/>
      <c r="W28" s="53"/>
    </row>
    <row r="29" spans="1:23" x14ac:dyDescent="0.3">
      <c r="A29" s="53"/>
      <c r="B29" s="53"/>
      <c r="C29" s="53"/>
      <c r="D29" s="53"/>
      <c r="E29" s="53"/>
      <c r="F29" s="53"/>
      <c r="G29" s="53"/>
      <c r="H29" s="53"/>
      <c r="I29" s="53"/>
      <c r="J29" s="53"/>
      <c r="K29" s="53"/>
      <c r="L29" s="53"/>
      <c r="M29" s="53"/>
      <c r="N29" s="53"/>
      <c r="O29" s="53"/>
      <c r="P29" s="53"/>
      <c r="Q29" s="53"/>
      <c r="R29" s="53"/>
      <c r="S29" s="53"/>
      <c r="T29" s="53"/>
      <c r="U29" s="53"/>
      <c r="V29" s="53"/>
      <c r="W29" s="53"/>
    </row>
    <row r="30" spans="1:23" x14ac:dyDescent="0.3">
      <c r="A30" s="53"/>
      <c r="B30" s="53"/>
      <c r="C30" s="53"/>
      <c r="D30" s="53"/>
      <c r="E30" s="53"/>
      <c r="F30" s="53"/>
      <c r="G30" s="53"/>
      <c r="H30" s="53"/>
      <c r="I30" s="53"/>
      <c r="J30" s="53"/>
      <c r="K30" s="53"/>
      <c r="L30" s="53"/>
      <c r="M30" s="53"/>
      <c r="N30" s="53"/>
      <c r="O30" s="53"/>
      <c r="P30" s="53"/>
      <c r="Q30" s="53"/>
      <c r="R30" s="53"/>
      <c r="S30" s="53"/>
      <c r="T30" s="53"/>
      <c r="U30" s="53"/>
      <c r="V30" s="53"/>
      <c r="W30" s="53"/>
    </row>
    <row r="31" spans="1:23" ht="16.8" customHeight="1" x14ac:dyDescent="0.3">
      <c r="A31" s="53"/>
      <c r="B31" s="53"/>
      <c r="C31" s="53"/>
      <c r="D31" s="53"/>
      <c r="E31" s="53"/>
      <c r="F31" s="53"/>
      <c r="G31" s="53"/>
      <c r="H31" s="53"/>
      <c r="I31" s="53"/>
      <c r="J31" s="53"/>
      <c r="K31" s="53"/>
      <c r="L31" s="53"/>
      <c r="M31" s="53"/>
      <c r="N31" s="53"/>
      <c r="O31" s="53"/>
      <c r="P31" s="53"/>
      <c r="Q31" s="53"/>
      <c r="R31" s="53"/>
      <c r="S31" s="53"/>
      <c r="T31" s="53"/>
      <c r="U31" s="53"/>
      <c r="V31" s="53"/>
      <c r="W31" s="53"/>
    </row>
    <row r="32" spans="1:23" x14ac:dyDescent="0.3">
      <c r="A32" s="53"/>
      <c r="B32" s="53"/>
      <c r="C32" s="53"/>
      <c r="D32" s="53"/>
      <c r="E32" s="53"/>
      <c r="F32" s="53"/>
      <c r="G32" s="53"/>
      <c r="H32" s="53"/>
      <c r="I32" s="53"/>
      <c r="J32" s="53"/>
      <c r="K32" s="53"/>
      <c r="L32" s="53"/>
      <c r="M32" s="53"/>
      <c r="N32" s="53"/>
      <c r="O32" s="53"/>
      <c r="P32" s="53"/>
      <c r="Q32" s="53"/>
      <c r="R32" s="53"/>
      <c r="S32" s="53"/>
      <c r="T32" s="53"/>
      <c r="U32" s="53"/>
      <c r="V32" s="53"/>
      <c r="W32" s="53"/>
    </row>
    <row r="33" spans="1:23" x14ac:dyDescent="0.3">
      <c r="A33" s="53"/>
      <c r="B33" s="53"/>
      <c r="C33" s="53"/>
      <c r="D33" s="53"/>
      <c r="E33" s="53"/>
      <c r="F33" s="53"/>
      <c r="G33" s="53"/>
      <c r="H33" s="53"/>
      <c r="I33" s="53"/>
      <c r="J33" s="53"/>
      <c r="K33" s="53"/>
      <c r="L33" s="53"/>
      <c r="M33" s="53"/>
      <c r="N33" s="53"/>
      <c r="O33" s="53"/>
      <c r="P33" s="53"/>
      <c r="Q33" s="53"/>
      <c r="R33" s="53"/>
      <c r="S33" s="53"/>
      <c r="T33" s="53"/>
      <c r="U33" s="53"/>
      <c r="V33" s="53"/>
      <c r="W33" s="53"/>
    </row>
    <row r="34" spans="1:23" x14ac:dyDescent="0.3">
      <c r="A34" s="53"/>
      <c r="B34" s="53"/>
      <c r="C34" s="53"/>
      <c r="D34" s="53"/>
      <c r="E34" s="53"/>
      <c r="F34" s="53"/>
      <c r="G34" s="53"/>
      <c r="H34" s="53"/>
      <c r="I34" s="53"/>
      <c r="J34" s="53"/>
      <c r="K34" s="53"/>
      <c r="L34" s="53"/>
      <c r="M34" s="53"/>
      <c r="N34" s="53"/>
      <c r="O34" s="53"/>
      <c r="P34" s="53"/>
      <c r="Q34" s="53"/>
      <c r="R34" s="53"/>
      <c r="S34" s="53"/>
      <c r="T34" s="53"/>
      <c r="U34" s="53"/>
      <c r="V34" s="53"/>
      <c r="W34" s="5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Project Instructions</vt:lpstr>
      <vt:lpstr>Dataset</vt:lpstr>
      <vt:lpstr>Regression</vt:lpstr>
      <vt:lpstr>Descriptive Statistics</vt:lpstr>
      <vt:lpstr>Clustered chart</vt:lpstr>
      <vt:lpstr>Pie chart</vt:lpstr>
      <vt:lpstr> Bar Chart</vt:lpstr>
      <vt:lpstr>Line chart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 I T Z Z</dc:creator>
  <cp:lastModifiedBy>yash patel</cp:lastModifiedBy>
  <dcterms:created xsi:type="dcterms:W3CDTF">2026-03-20T17:10:12Z</dcterms:created>
  <dcterms:modified xsi:type="dcterms:W3CDTF">2026-03-24T09:49:00Z</dcterms:modified>
</cp:coreProperties>
</file>